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Compliance Mapping" sheetId="2" r:id="rId5"/>
    <sheet state="visible" name="Risk Register" sheetId="3" r:id="rId6"/>
    <sheet state="visible" name="Heat Map" sheetId="4" r:id="rId7"/>
    <sheet state="visible" name="Open Ports" sheetId="5" r:id="rId8"/>
    <sheet state="visible" name="Nuclei Results" sheetId="6" r:id="rId9"/>
    <sheet state="visible" name="Nikto Results" sheetId="7" r:id="rId10"/>
    <sheet state="visible" name="Remediation Roadmap" sheetId="8" r:id="rId11"/>
    <sheet state="visible" name="Limitations" sheetId="9" r:id="rId12"/>
    <sheet state="visible" name="Scoring &amp; Notes" sheetId="10" r:id="rId13"/>
  </sheets>
  <definedNames>
    <definedName hidden="1" localSheetId="1" name="_xlnm._FilterDatabase">'Compliance Mapping'!$A$4:$H$42</definedName>
    <definedName hidden="1" localSheetId="2" name="_xlnm._FilterDatabase">'Risk Register'!$A$1:$AH$39</definedName>
    <definedName hidden="1" localSheetId="4" name="_xlnm._FilterDatabase">'Open Ports'!$A$4:$G$34</definedName>
    <definedName hidden="1" localSheetId="5" name="_xlnm._FilterDatabase">'Nuclei Results'!$A$4:$I$63</definedName>
    <definedName hidden="1" localSheetId="6" name="_xlnm._FilterDatabase">'Nikto Results'!$A$4:$E$31</definedName>
  </definedNames>
  <calcPr/>
  <extLst>
    <ext uri="GoogleSheetsCustomDataVersion2">
      <go:sheetsCustomData xmlns:go="http://customooxmlschemas.google.com/" r:id="rId14" roundtripDataChecksum="8tehIdM0C/gspXh0Kq8wLMFIETbLfChCVaTbQF08pD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
ID#doco.N4QfNAKeZE-2CfWoZTciOA
Unknown Author    (2026-10-24 13:58:56)
Input (blue). 1 Rare ... 5 Almost certain. See 'Scoring &amp; Notes'.</t>
      </text>
    </comment>
    <comment authorId="0" ref="O1">
      <text>
        <t xml:space="preserve">======
ID#doco.2dc_lBzQ8wFDa0SfW9SYkw
Unknown Author    (2026-10-24 13:58:56)
Input (blue). 1 Insignificant ... 5 Severe. See 'Scoring &amp; Notes'.</t>
      </text>
    </comment>
  </commentList>
  <extLst>
    <ext uri="GoogleSheetsCustomDataVersion2">
      <go:sheetsCustomData xmlns:go="http://customooxmlschemas.google.com/" r:id="rId1" roundtripDataSignature="AMtx7migS9ibb0eMpXcl2mi91/yBDKQbnA=="/>
    </ext>
  </extLst>
</comments>
</file>

<file path=xl/sharedStrings.xml><?xml version="1.0" encoding="utf-8"?>
<sst xmlns="http://schemas.openxmlformats.org/spreadsheetml/2006/main" count="1885" uniqueCount="1043">
  <si>
    <t>Risk Heat Map (count of findings per Likelihood x Impact cell)</t>
  </si>
  <si>
    <t>ID</t>
  </si>
  <si>
    <t>Live COUNTIFS over the Risk Register. Cell colour shows the rating zone from the thresholds on 'Scoring &amp; Notes'.</t>
  </si>
  <si>
    <t>Previous ID (v1)</t>
  </si>
  <si>
    <t>Finding</t>
  </si>
  <si>
    <t>Description</t>
  </si>
  <si>
    <t>Affected service</t>
  </si>
  <si>
    <t>Port / protocol</t>
  </si>
  <si>
    <t>LIKELIHOOD</t>
  </si>
  <si>
    <t>Detected by</t>
  </si>
  <si>
    <t>CVE/reference</t>
  </si>
  <si>
    <t>CVSS / external severity</t>
  </si>
  <si>
    <t>Scanner severity</t>
  </si>
  <si>
    <t>Evidence/status</t>
  </si>
  <si>
    <t>Suggested control alignments for each finding (references to the Risk Register). Not a formal finding of non-compliance; apply PCI DSS only if in scope.</t>
  </si>
  <si>
    <t>Status / validation</t>
  </si>
  <si>
    <t>IMPACT</t>
  </si>
  <si>
    <t>Likelihood (1-5)</t>
  </si>
  <si>
    <t>Likelihood label</t>
  </si>
  <si>
    <t>Impact (1-5)</t>
  </si>
  <si>
    <t>Score</t>
  </si>
  <si>
    <t>Impact label</t>
  </si>
  <si>
    <t>Risk score (L x I)</t>
  </si>
  <si>
    <t>Inherent risk</t>
  </si>
  <si>
    <t>Lab rating (H/M/L)</t>
  </si>
  <si>
    <t>CIS Controls v8</t>
  </si>
  <si>
    <t>Priority</t>
  </si>
  <si>
    <t>NIST CSF 2.0</t>
  </si>
  <si>
    <t>Business impact</t>
  </si>
  <si>
    <t>ISO/IEC 27001:2022</t>
  </si>
  <si>
    <t>PCI DSS v4.0 (if in scope)</t>
  </si>
  <si>
    <t>OWASP Top 10 2021</t>
  </si>
  <si>
    <t>Recommended action - immediate</t>
  </si>
  <si>
    <t>Recommended action - long-term</t>
  </si>
  <si>
    <t>Validation note</t>
  </si>
  <si>
    <t>Suggested owner</t>
  </si>
  <si>
    <t>Remediation SLA (days)</t>
  </si>
  <si>
    <t>Target date</t>
  </si>
  <si>
    <t>Remediation status</t>
  </si>
  <si>
    <t>Comments / evidence of closure</t>
  </si>
  <si>
    <t>R01</t>
  </si>
  <si>
    <t>vsftpd 2.3.4 backdoor detected</t>
  </si>
  <si>
    <t>The vsftpd 2.3.4 source package downloaded between 30 June and 3 July 2011 contained a malicious backdoor (NVD): a login name ending in ':)' opens a root command shell on TCP/6200. The Nuclei template reported a match on that port, so this is stronger evidence than a banner alone.</t>
  </si>
  <si>
    <t>FTP - vsftpd 2.3.4</t>
  </si>
  <si>
    <t>TCP/21 (backdoor shell TCP/6200)</t>
  </si>
  <si>
    <t>Nmap; Nuclei</t>
  </si>
  <si>
    <t>CVE-2011-2523</t>
  </si>
  <si>
    <t>9.8 Critical (CVSS v3.1, NVD); 10.0 (CVSS v2)</t>
  </si>
  <si>
    <t>Critical</t>
  </si>
  <si>
    <t>Nmap -sV banner 'vsftpd 2.3.4' on TCP/21. Nuclei template CVE-2011-2523 [tcp] [critical] matched 192.168.164.129:6200.</t>
  </si>
  <si>
    <t>Detected by Nuclei template (CVE-2011-2523, matched on TCP/6200); manual confirmation recommended</t>
  </si>
  <si>
    <t>Unauthenticated remote root-level command execution leading to full host compromise, data theft, and use of the host as a pivot point.</t>
  </si>
  <si>
    <t>CIS 7.1, 7.4, 7.7</t>
  </si>
  <si>
    <t>ID.RA-01; PR.PS-02</t>
  </si>
  <si>
    <t>A.8.8</t>
  </si>
  <si>
    <t>Req. 6.3.1, 6.3.3</t>
  </si>
  <si>
    <t>A06:2021 Vulnerable and Outdated Components</t>
  </si>
  <si>
    <t>Stop and disable vsftpd; isolate the host from other networks; confirm the finding in the lab (connect to TCP/6200 after triggering) only under instructor approval.</t>
  </si>
  <si>
    <t>Remove the trojaned package; reinstall vsftpd from a trusted, signed repository at a supported version (or use SFTP); rebuild the host if integrity cannot be assured.</t>
  </si>
  <si>
    <t>Template-based detection. Treat as confirmed for lab purposes; document manual confirmation if performed.</t>
  </si>
  <si>
    <t>System administrator</t>
  </si>
  <si>
    <t>Open</t>
  </si>
  <si>
    <t>R02</t>
  </si>
  <si>
    <t>R07</t>
  </si>
  <si>
    <t>Bind shell identified as 'Metasploitable root shell'</t>
  </si>
  <si>
    <t>A listening service on TCP/1524 is identified by Nmap as a root shell that accepts connections without authentication (a bind shell). Such services are a hallmark of a deliberately planted backdoor.</t>
  </si>
  <si>
    <t>bindshell</t>
  </si>
  <si>
    <t>TCP/1524</t>
  </si>
  <si>
    <t>Nmap</t>
  </si>
  <si>
    <t>Nmap service identification (no CVE)</t>
  </si>
  <si>
    <t>Not scored</t>
  </si>
  <si>
    <t>n/a</t>
  </si>
  <si>
    <t>Nmap: '1524/tcp open bindshell Metasploitable root shell'.</t>
  </si>
  <si>
    <t>Observed (Nmap -sV service identification); no interactive session opened</t>
  </si>
  <si>
    <t>Direct, unauthenticated privileged access to the operating system; complete loss of confidentiality, integrity and availability.</t>
  </si>
  <si>
    <t>CIS 4.1, 4.8</t>
  </si>
  <si>
    <t>PR.PS-01</t>
  </si>
  <si>
    <t>A.8.9</t>
  </si>
  <si>
    <t>Req. 2.2.4</t>
  </si>
  <si>
    <t>A05:2021 Security Misconfiguration</t>
  </si>
  <si>
    <t>Identify and kill the listening process; block TCP/1524 at host and network level; keep host isolated.</t>
  </si>
  <si>
    <t>Investigate how the listener is started (inetd/xinetd, init scripts); remove; add a host firewall default-deny policy; monitor for new listeners.</t>
  </si>
  <si>
    <t>Service identity comes from Nmap fingerprinting. Confirm by process inspection on the host.</t>
  </si>
  <si>
    <t>R03</t>
  </si>
  <si>
    <t>R06 (part)</t>
  </si>
  <si>
    <t>PostgreSQL accessible with empty and default credentials</t>
  </si>
  <si>
    <t>The database superuser account 'postgres' accepts an empty password and the well-known default password 'postgres'. The network listener is reachable from the scanning host.</t>
  </si>
  <si>
    <t>PostgreSQL 8.3.0 - 8.3.7</t>
  </si>
  <si>
    <t>TCP/5432</t>
  </si>
  <si>
    <t>Nuclei: pgsql-empty-password; postgres-default-logins; pgsql-default-db</t>
  </si>
  <si>
    <t>Nuclei [pgsql-empty-password] critical; [postgres-default-logins] high (postgres/postgres); [pgsql-default-db] high x4 (databases 'postgres' and 'template1', password 'postgres' and empty).</t>
  </si>
  <si>
    <t>Confirmed by Nuclei credential tests</t>
  </si>
  <si>
    <t>Full read/write access to all databases; possible server-side file access and command execution through superuser features; data breach or tampering.</t>
  </si>
  <si>
    <t>CIS 4.7, 5.2, 6.1</t>
  </si>
  <si>
    <t>PR.AA-01; PR.AA-03</t>
  </si>
  <si>
    <t>A.5.17; A.8.5</t>
  </si>
  <si>
    <t>Req. 2.2.2, 8.3.1, 8.3.6</t>
  </si>
  <si>
    <t>A07:2021 Identification and Authentication Failures</t>
  </si>
  <si>
    <t>Set a strong unique password for 'postgres'; restrict listen_addresses and pg_hba.conf to named application hosts; block TCP/5432 at the host firewall.</t>
  </si>
  <si>
    <t>Enforce scram authentication on a supported PostgreSQL release; remove default accounts; vault credentials; log and alert on superuser logins.</t>
  </si>
  <si>
    <t>Authentication success was reported by the Nuclei templates.</t>
  </si>
  <si>
    <t>Database administrator</t>
  </si>
  <si>
    <t>R04</t>
  </si>
  <si>
    <t>new</t>
  </si>
  <si>
    <t>Apache JServ (AJP) 'Ghostcat' vulnerability</t>
  </si>
  <si>
    <t>The AJP connector is reachable and was flagged for Ghostcat: Tomcat trusts AJP connections more than HTTP, so anyone who can reach the port can read files from the web application and process files as JSP, which can lead to remote code execution if uploads are possible. NVD lists Tomcat 7.0.0-7.0.99, 8.5.0-8.5.50 and 9.0.0.M1-9.0.0.30 as affected; Tomcat 5.5 is long unsupported and not in that list, so the template match should be confirmed.</t>
  </si>
  <si>
    <t>Apache Jserv AJP13 (Tomcat 5.5 on TCP/8180)</t>
  </si>
  <si>
    <t>TCP/8009</t>
  </si>
  <si>
    <t>CVE-2020-1938</t>
  </si>
  <si>
    <t>9.8 Critical (CVSS v3.1, NVD)</t>
  </si>
  <si>
    <t>Nuclei [CVE-2020-1938] [tcp] [critical] 192.168.164.129:8009. Nmap: 8009/tcp ajp13 Apache Jserv (Protocol v1.3).</t>
  </si>
  <si>
    <t>Detected by Nuclei template; NVD does not list Tomcat 5.5 - confirm manually</t>
  </si>
  <si>
    <t>GRC Lab 1 - Risk Assessment Summary</t>
  </si>
  <si>
    <t>Target 192.168.164.129 (Metasploitable test server) | Scans 22 Oct 2026 | All counts are live formulas over the Risk Register</t>
  </si>
  <si>
    <t>Findings by inherent risk</t>
  </si>
  <si>
    <t>Nuclei results by severity (raw scanner output)</t>
  </si>
  <si>
    <t>Findings</t>
  </si>
  <si>
    <t>% of total</t>
  </si>
  <si>
    <t>Nuclei severity</t>
  </si>
  <si>
    <t>Results</t>
  </si>
  <si>
    <t>Disclosure of application source and configuration (including credentials) and possible remote code execution.</t>
  </si>
  <si>
    <t>Disable the AJP connector or bind it to localhost; block TCP/8009.</t>
  </si>
  <si>
    <t>Upgrade Tomcat to a supported, patched release; if AJP is needed, require a shared secret and restrict by address.</t>
  </si>
  <si>
    <t>Template-based detection; Nmap ajp-methods returned no valid OPTIONS response and Tomcat 5.5 is outside the NVD affected-version list, so confirm manually. Rating kept Critical because an exposed, unsupported AJP connector is unsafe either way.</t>
  </si>
  <si>
    <t>Application owner</t>
  </si>
  <si>
    <t>H</t>
  </si>
  <si>
    <t>Colour key (default thresholds):</t>
  </si>
  <si>
    <t>R05</t>
  </si>
  <si>
    <t>distccd remote command execution</t>
  </si>
  <si>
    <t>distccd, a distributed compiler daemon, accepts jobs from any client unless restricted. A remote user can run arbitrary commands as the daemon account.</t>
  </si>
  <si>
    <t>distccd v1 (GNU 4.2.4)</t>
  </si>
  <si>
    <t>TCP/3632</t>
  </si>
  <si>
    <t>CVE-2004-2687</t>
  </si>
  <si>
    <t>9.3 (CVSS v2, as widely published by NVD; not re-verified)</t>
  </si>
  <si>
    <t>High</t>
  </si>
  <si>
    <t>Nuclei [CVE-2004-2687] [tcp] [high] 192.168.164.129:3632. Nmap: 3632/tcp distccd v1.</t>
  </si>
  <si>
    <t>Detected by Nuclei template (scanner severity High; assessed higher)</t>
  </si>
  <si>
    <t>Medium</t>
  </si>
  <si>
    <t>Low</t>
  </si>
  <si>
    <t>Check: total</t>
  </si>
  <si>
    <t>Note: zone colours are fixed to the default thresholds; if the thresholds on 'Scoring &amp; Notes' are changed, the counts stay correct but the zone shading should be reviewed.</t>
  </si>
  <si>
    <t>M</t>
  </si>
  <si>
    <t>Unauthenticated remote command execution as the daemon user and a stepping stone to privilege escalation.</t>
  </si>
  <si>
    <t>Stop distccd; block TCP/3632.</t>
  </si>
  <si>
    <t>Do not expose compile services; if needed, use --allow with specific hosts, bind to an internal interface and add network ACLs.</t>
  </si>
  <si>
    <t>Scanner rated High; assessed Critical because the service design permits remote command execution to any permitted client.</t>
  </si>
  <si>
    <t>L</t>
  </si>
  <si>
    <t>R06</t>
  </si>
  <si>
    <t>VNC remote desktop with weak password and weak protocol</t>
  </si>
  <si>
    <t>Remote desktop access is protected only by weak, guessable passwords over the legacy RFB 3.3 protocol, which uses a weak challenge/response and no session encryption.</t>
  </si>
  <si>
    <t>VNC (RFB 003.003)</t>
  </si>
  <si>
    <t>TCP/5900</t>
  </si>
  <si>
    <t>Nuclei: vnc-default-login; vnc-service-detect</t>
  </si>
  <si>
    <t>Nuclei [vnc-default-login] high x2 (passwords 'password', 'password123'); [vnc-service-detect] RFB 003.003. Nmap vnc-info: protocol 3.3, security type VNC Authentication (2).</t>
  </si>
  <si>
    <t>Confirmed by Nuclei credential tests (passwords 'password' and 'password123')</t>
  </si>
  <si>
    <t>Total findings</t>
  </si>
  <si>
    <t>Info</t>
  </si>
  <si>
    <t>Check: rows in register</t>
  </si>
  <si>
    <t>Total Nuclei results</t>
  </si>
  <si>
    <t>Attack surface (Nmap -p-)</t>
  </si>
  <si>
    <t>Lab rating</t>
  </si>
  <si>
    <t>Measure</t>
  </si>
  <si>
    <t>Count</t>
  </si>
  <si>
    <t>Ports scanned</t>
  </si>
  <si>
    <t>Interactive desktop control of the host, enabling full compromise, credential capture and tampering.</t>
  </si>
  <si>
    <t>Change the VNC password or stop the service; block TCP/5900 except via an SSH tunnel or VPN.</t>
  </si>
  <si>
    <t>Replace with an encrypted, MFA-protected remote access method; enforce password policy; monitor remote access.</t>
  </si>
  <si>
    <t>Credential success reported by Nuclei.</t>
  </si>
  <si>
    <t>Open TCP ports</t>
  </si>
  <si>
    <t>UnrealIRCd 3.2.8.1 (release known to have been trojaned)</t>
  </si>
  <si>
    <t>Source tarballs of UnrealIRCd 3.2.8.1 distributed in 2009-2010 contained a backdoor allowing remote command execution. A version string alone does not show whether this host runs the trojaned build.</t>
  </si>
  <si>
    <t>UnrealIRCd 3.2.8.1</t>
  </si>
  <si>
    <t>TCP/6667, 6697</t>
  </si>
  <si>
    <t>CVE-2010-2075 (applicability to validate)</t>
  </si>
  <si>
    <t>Not scored here</t>
  </si>
  <si>
    <t>n/a (not flagged)</t>
  </si>
  <si>
    <t>Nmap irc-info on both ports: version 'Unreal3.2.8.1. irc.Metasploitable.LAN'.</t>
  </si>
  <si>
    <t>Version indicator only; validate</t>
  </si>
  <si>
    <t>Closed (reset)</t>
  </si>
  <si>
    <t>Filtered</t>
  </si>
  <si>
    <t>Status</t>
  </si>
  <si>
    <t>Nikto items reported</t>
  </si>
  <si>
    <t>In progress</t>
  </si>
  <si>
    <t>Remediated</t>
  </si>
  <si>
    <t>If trojaned: unauthenticated remote command execution. Otherwise: an unnecessary, outdated chat service.</t>
  </si>
  <si>
    <t>Stop the IRC services; block TCP/6667 and 6697.</t>
  </si>
  <si>
    <t>Remove IRC from the server; if required, install a supported release from a verified source and compare checksums.</t>
  </si>
  <si>
    <t>Do not report as confirmed backdoor without validation (package/source checksum).</t>
  </si>
  <si>
    <t>Validated closed</t>
  </si>
  <si>
    <t>Risk accepted</t>
  </si>
  <si>
    <t>R08</t>
  </si>
  <si>
    <t>Telnet service exposed (cleartext remote login)</t>
  </si>
  <si>
    <t>Telnet transmits usernames, passwords and session data in plaintext and is obsolete for administration.</t>
  </si>
  <si>
    <t>Linux telnetd</t>
  </si>
  <si>
    <t>TCP/23</t>
  </si>
  <si>
    <t>No CVE (insecure protocol)</t>
  </si>
  <si>
    <t>Critical findings requiring immediate action (P1)</t>
  </si>
  <si>
    <t>Nmap: '23/tcp open telnet Linux telnetd'.</t>
  </si>
  <si>
    <t>Observed (Nmap -sV)</t>
  </si>
  <si>
    <t>Port</t>
  </si>
  <si>
    <t>Credential and session interception on any shared network path, leading to unauthorised access.</t>
  </si>
  <si>
    <t>CIS 3.10, 12.6</t>
  </si>
  <si>
    <t>PR.DS-02</t>
  </si>
  <si>
    <t>A.8.24; A.5.14</t>
  </si>
  <si>
    <t>Req. 2.2.7, 4.2.1</t>
  </si>
  <si>
    <t>A02:2021 Cryptographic Failures</t>
  </si>
  <si>
    <t>Disable telnetd; block TCP/23.</t>
  </si>
  <si>
    <t>Use SSH with key-based authentication for administration; apply the baseline that prohibits cleartext management protocols.</t>
  </si>
  <si>
    <t>Risk depends on network path and authentication configuration.</t>
  </si>
  <si>
    <t>R09</t>
  </si>
  <si>
    <t>Legacy r-services exposed (rexec, rlogin, rsh)</t>
  </si>
  <si>
    <t>The r-services use cleartext transport and host-based trust (.rhosts) rather than strong authentication.</t>
  </si>
  <si>
    <t>netkit-rsh rexecd; login; Netkit rshd</t>
  </si>
  <si>
    <t>TCP/512, 513, 514</t>
  </si>
  <si>
    <t>No CVE (insecure protocols)</t>
  </si>
  <si>
    <t>Note: counts of Critical are driven by the Likelihood x Impact scores and thresholds on 'Scoring &amp; Notes'. Edit those blue inputs and this page recalculates.</t>
  </si>
  <si>
    <t>Nmap: 512/tcp exec netkit-rsh rexecd; 513/tcp login?; 514/tcp shell Netkit rshd.</t>
  </si>
  <si>
    <t>Open TCP Port Inventory (Nmap -sV -sC -O -p-)</t>
  </si>
  <si>
    <t>Scan started Thu 22 Oct 2026 04:57:27 EDT; completed 05:00:32 (184.73 s). Host up, latency 0.0011 s, MAC 00:0C:29:5B:0B:68 (VMware). OS match Linux 2.6.9 - 2.6.33 (100%).</t>
  </si>
  <si>
    <t>Proto</t>
  </si>
  <si>
    <t>State</t>
  </si>
  <si>
    <t>Service</t>
  </si>
  <si>
    <t>Product / version</t>
  </si>
  <si>
    <t>Key script output / note</t>
  </si>
  <si>
    <t>Related findings</t>
  </si>
  <si>
    <t>tcp</t>
  </si>
  <si>
    <t>open</t>
  </si>
  <si>
    <t>ftp</t>
  </si>
  <si>
    <t>vsftpd 2.3.4</t>
  </si>
  <si>
    <t>Anonymous login allowed (230); cleartext control/data</t>
  </si>
  <si>
    <t>R01, R10</t>
  </si>
  <si>
    <t>Unauthorised command execution or login through trusted-host abuse and credential interception.</t>
  </si>
  <si>
    <t>Disable rexecd, rlogind and rshd; block TCP/512-514.</t>
  </si>
  <si>
    <t>Remove the rsh server packages; use SSH only.</t>
  </si>
  <si>
    <t>Trust configuration (.rhosts, hosts.equiv) not reviewed.</t>
  </si>
  <si>
    <t>ssh</t>
  </si>
  <si>
    <t>OpenSSH 4.7p1 Debian 8ubuntu1 (protocol 2.0)</t>
  </si>
  <si>
    <t>Host keys: 1024-bit DSA, 2048-bit RSA</t>
  </si>
  <si>
    <t>R26</t>
  </si>
  <si>
    <t>telnet</t>
  </si>
  <si>
    <t>Cleartext remote login</t>
  </si>
  <si>
    <t>smtp</t>
  </si>
  <si>
    <t>Postfix smtpd</t>
  </si>
  <si>
    <t>SSLv2 supported; VRFY/ETRN; certificate expired 2010-04-16</t>
  </si>
  <si>
    <t>R18, R31, R32</t>
  </si>
  <si>
    <t>R10</t>
  </si>
  <si>
    <t>domain</t>
  </si>
  <si>
    <t>ISC BIND 9.4.2</t>
  </si>
  <si>
    <t>Anonymous FTP login and weak FTP credentials</t>
  </si>
  <si>
    <t>bind.version 9.4.2</t>
  </si>
  <si>
    <t>The FTP service accepts anonymous login. The eight 'weak credential' hits all use the account 'ftp', which is the anonymous account; they most likely reflect anonymous access accepting any password rather than eight separate weak passwords. FTP also sends data in cleartext.</t>
  </si>
  <si>
    <t>R27</t>
  </si>
  <si>
    <t>TCP/21</t>
  </si>
  <si>
    <t>Nmap ftp-anon; Nuclei ftp-anonymous-login; ftp-weak-credentials</t>
  </si>
  <si>
    <t>http</t>
  </si>
  <si>
    <t>High (weak credentials); Medium (anonymous)</t>
  </si>
  <si>
    <t>Apache httpd 2.2.8 ((Ubuntu) DAV/2)</t>
  </si>
  <si>
    <t>Nmap ftp-anon: 'Anonymous FTP login allowed (FTP code 230)'; ftp-syst: control and data connections are plain text. Nuclei [ftp-anonymous-login] medium; [ftp-weak-credentials] high x8 for user 'ftp' (passwords password, default, nas, 123456, guest, stingray, pass1, toor).</t>
  </si>
  <si>
    <t>Title: Metasploitable2 - Linux; PHP 5.2.4</t>
  </si>
  <si>
    <t>Confirmed (Nmap script and Nuclei)</t>
  </si>
  <si>
    <t>R13, R14, R22-R25, R33-R35</t>
  </si>
  <si>
    <t>rpcbind</t>
  </si>
  <si>
    <t>RPC #100000 v2</t>
  </si>
  <si>
    <t>rpcinfo lists nfs, mountd, nlockmgr, status</t>
  </si>
  <si>
    <t>R21, R38</t>
  </si>
  <si>
    <t>netbios-ssn</t>
  </si>
  <si>
    <t>Samba smbd 3.X - 4.X (WORKGROUP)</t>
  </si>
  <si>
    <t>SMB over NetBIOS</t>
  </si>
  <si>
    <t>R12</t>
  </si>
  <si>
    <t>Samba smbd 3.0.20-Debian (WORKGROUP)</t>
  </si>
  <si>
    <t>Guest account; message signing disabled; SMBv1</t>
  </si>
  <si>
    <t>R11, R12</t>
  </si>
  <si>
    <t>exec</t>
  </si>
  <si>
    <t>netkit-rsh rexecd</t>
  </si>
  <si>
    <t>r-service</t>
  </si>
  <si>
    <t>login?</t>
  </si>
  <si>
    <t>(unidentified)</t>
  </si>
  <si>
    <t>r-service (rlogin)</t>
  </si>
  <si>
    <t>shell</t>
  </si>
  <si>
    <t>Netkit rshd</t>
  </si>
  <si>
    <t>java-rmi</t>
  </si>
  <si>
    <t>GNU Classpath grmiregistry</t>
  </si>
  <si>
    <t>RMI registry</t>
  </si>
  <si>
    <t>R29</t>
  </si>
  <si>
    <t>Metasploitable root shell</t>
  </si>
  <si>
    <t>Unauthenticated root shell</t>
  </si>
  <si>
    <t>nfs</t>
  </si>
  <si>
    <t>RPC #100003 v2-4</t>
  </si>
  <si>
    <t>NFS exports not enumerated</t>
  </si>
  <si>
    <t>R21</t>
  </si>
  <si>
    <t>ProFTPD 1.3.1</t>
  </si>
  <si>
    <t>Second FTP service</t>
  </si>
  <si>
    <t>R28</t>
  </si>
  <si>
    <t>mysql</t>
  </si>
  <si>
    <t>MySQL 5.0.51a-3ubuntu5</t>
  </si>
  <si>
    <t>Protocol 10; thread ID 8</t>
  </si>
  <si>
    <t>R15</t>
  </si>
  <si>
    <t>distccd</t>
  </si>
  <si>
    <t>distccd v1 ((GNU) 4.2.4 Ubuntu 4.2.4-1ubuntu4)</t>
  </si>
  <si>
    <t>Remote compile daemon</t>
  </si>
  <si>
    <t>postgresql</t>
  </si>
  <si>
    <t>PostgreSQL DB 8.3.0 - 8.3.7</t>
  </si>
  <si>
    <t>Empty/default credentials; certificate expired</t>
  </si>
  <si>
    <t>R03, R15, R31</t>
  </si>
  <si>
    <t>vnc</t>
  </si>
  <si>
    <t>VNC (protocol 3.3)</t>
  </si>
  <si>
    <t>Security type VNC Authentication (2)</t>
  </si>
  <si>
    <t>X11</t>
  </si>
  <si>
    <t>(access denied)</t>
  </si>
  <si>
    <t>X server listener</t>
  </si>
  <si>
    <t>R37</t>
  </si>
  <si>
    <t>Unauthorised file access or upload, service abuse, and interception of any credentials or data sent over FTP.</t>
  </si>
  <si>
    <t>irc</t>
  </si>
  <si>
    <t>Disable anonymous access unless formally approved; restrict directories and source addresses.</t>
  </si>
  <si>
    <t>Replace FTP with SFTP or FTPS; apply least-privilege chroot; review the upload directory.</t>
  </si>
  <si>
    <t>irc-info: Unreal3.2.8.1</t>
  </si>
  <si>
    <t>Interpretation of the eight weak-credential hits as an anonymous-account artefact is an analyst inference.</t>
  </si>
  <si>
    <t>ajp13</t>
  </si>
  <si>
    <t>Apache Jserv (Protocol v1.3)</t>
  </si>
  <si>
    <t>Ghostcat (CVE-2020-1938)</t>
  </si>
  <si>
    <t>Apache Tomcat/Coyote JSP engine 1.1</t>
  </si>
  <si>
    <t>Title: Apache Tomcat/5.5</t>
  </si>
  <si>
    <t>R17</t>
  </si>
  <si>
    <t>drb</t>
  </si>
  <si>
    <t>Ruby DRb RMI (Ruby 1.8)</t>
  </si>
  <si>
    <t>path /usr/lib/ruby/1.8/drb</t>
  </si>
  <si>
    <t>R11</t>
  </si>
  <si>
    <t>R16</t>
  </si>
  <si>
    <t>R08 (part)</t>
  </si>
  <si>
    <t>Samba 3.0.20 flagged for CVE-2026-4480 (version-based)</t>
  </si>
  <si>
    <t>CVE-2026-4480 is an OS command injection in Samba's printing subsystem (the 'print command' %J substitution is not escaped). The Nuclei match is based on the version string. Exploitation depends on the print command configuration and has high attack complexity, so the scanner's Critical label is reduced to High pending validation.</t>
  </si>
  <si>
    <t>Samba smbd 3.0.20-Debian</t>
  </si>
  <si>
    <t>TCP/445</t>
  </si>
  <si>
    <t>mountd</t>
  </si>
  <si>
    <t>CVE-2026-4480</t>
  </si>
  <si>
    <t>RPC #100005 v1-3</t>
  </si>
  <si>
    <t>9.0 Critical (CVSS v3.1, AC:H)</t>
  </si>
  <si>
    <t>RPC helper</t>
  </si>
  <si>
    <t>Nuclei [CVE-2026-4480:version] [javascript] [critical] 192.168.164.129:445 ['3.0.20']; [samba-detect] 'Samba 3.0.20-Debian'. Nmap: smbd 3.0.20-Debian.</t>
  </si>
  <si>
    <t>Version-based match by Nuclei; applicability to validate</t>
  </si>
  <si>
    <t>status</t>
  </si>
  <si>
    <t>RPC #100024 v1</t>
  </si>
  <si>
    <t>nlockmgr</t>
  </si>
  <si>
    <t>RPC #100021 v1-4</t>
  </si>
  <si>
    <t>Open ports</t>
  </si>
  <si>
    <t>Source: Nmap output (initial_scan.nmap/.xml) and HTML report screenshots; 65,505 further ports were closed (reset), none filtered.</t>
  </si>
  <si>
    <t>Potential remote code execution on the file server.</t>
  </si>
  <si>
    <t>Restrict TCP/139 and 445 to approved clients; review smb.conf for 'print command' and printing shares.</t>
  </si>
  <si>
    <t>Upgrade Samba to a supported, patched release; disable printing support if not needed.</t>
  </si>
  <si>
    <t>Public advisories show inconsistent fixed-version data; confirm against the upstream Samba security advisory and the installed build.</t>
  </si>
  <si>
    <t>SMB weaknesses: SMBv1, guest access and signing disabled</t>
  </si>
  <si>
    <t>The host speaks only legacy SMB 1.0, allows guest sessions and does not require message signing, which enables relay and tampering attacks.</t>
  </si>
  <si>
    <t>TCP/139, 445 (UDP/137)</t>
  </si>
  <si>
    <t>Nmap smb-security-mode; Nuclei smb-v1-supported</t>
  </si>
  <si>
    <t>Nmap smb-security-mode: account_used guest; message_signing disabled (dangerous, but default); smb2-time: protocol negotiation failed (SMB2). Nuclei [smb-v1-supported] and [smb-version-detect] 'SMB 1.0'; [ntlm-info] 'Samba 3.0.20-Debian'.</t>
  </si>
  <si>
    <t>Observed (Nmap and Nuclei)</t>
  </si>
  <si>
    <t>Unauthorised share access, information disclosure and man-in-the-middle manipulation of SMB traffic.</t>
  </si>
  <si>
    <t>CIS 3.3, 6.1, 6.8</t>
  </si>
  <si>
    <t>PR.AA-05</t>
  </si>
  <si>
    <t>A.5.15; A.8.3</t>
  </si>
  <si>
    <t>Req. 7.2</t>
  </si>
  <si>
    <t>A01:2021 Broken Access Control</t>
  </si>
  <si>
    <t>Disable guest access; require SMB signing; restrict to approved hosts.</t>
  </si>
  <si>
    <t>Disable SMB1; move to a supported Samba/SMB 3 configuration with encryption.</t>
  </si>
  <si>
    <t>Share-level permissions were not enumerated.</t>
  </si>
  <si>
    <t>Nuclei Scan Results (59 results)</t>
  </si>
  <si>
    <t>Nuclei v3.11.1 with nuclei-templates cloned manually after the update timeout. Each result is mapped to a Risk Register finding.</t>
  </si>
  <si>
    <t>#</t>
  </si>
  <si>
    <t>Template ID</t>
  </si>
  <si>
    <t>R13</t>
  </si>
  <si>
    <t>PHP-CGI argument injection</t>
  </si>
  <si>
    <t>Protocol</t>
  </si>
  <si>
    <t>PHP running as CGI treats query strings starting with '-' as command-line options, which can expose script source or allow code execution.</t>
  </si>
  <si>
    <t>Apache httpd 2.2.8 / PHP 5.2.4</t>
  </si>
  <si>
    <t>Severity</t>
  </si>
  <si>
    <t>TCP/80</t>
  </si>
  <si>
    <t>Nuclei</t>
  </si>
  <si>
    <t>Target (host:port / URL)</t>
  </si>
  <si>
    <t>CVE-2012-1823</t>
  </si>
  <si>
    <t>Matcher / detail</t>
  </si>
  <si>
    <t>7.5 High (CVSS v3, as widely published by NVD; not re-verified)</t>
  </si>
  <si>
    <t>Mapped finding</t>
  </si>
  <si>
    <t>Nuclei [CVE-2012-1823] [http] [high] http://192.168.164.129/index.php?-d+allow_url_include%3don+-d+auto_prepend_file%3dphp%3a//input.</t>
  </si>
  <si>
    <t>Detected by Nuclei template (request with -d allow_url_include / auto_prepend_file)</t>
  </si>
  <si>
    <t>Mapped finding title</t>
  </si>
  <si>
    <t>Raw output line</t>
  </si>
  <si>
    <t>192.168.164.129/index.php?-d+allow_url_include%3don+-d+auto_prepend_file%3dphp%3a//input</t>
  </si>
  <si>
    <t>Framework legend and lab-brief cross-reference</t>
  </si>
  <si>
    <t>Safeguards cited: 1.1 asset inventory; 2.2 supported software; 3.3 data access control lists; 3.10 encrypt data in transit; 4.1 secure configuration process; 4.4 server firewall; 4.7 manage default accounts; 4.8 disable unnecessary services; 5.2 unique passwords; 6.1 / 6.8 access granting and RBAC; 7.1 / 7.4 / 7.7 vulnerability and patch management; 8.4 time synchronisation; 12.2 secure network architecture; 12.6 secure management protocols; 13.4 traffic filtering; 16.7 hardening templates.</t>
  </si>
  <si>
    <t>[CVE-2012-1823] [http] [high] http://192.168.164.129/index.php?-d+allow_url_include%3don+-d+auto_prepend_file%3dphp%3a//input</t>
  </si>
  <si>
    <t>phpmyadmin-panel</t>
  </si>
  <si>
    <t>192.168.164.129/phpMyAdmin/</t>
  </si>
  <si>
    <t>[paths="/phpMyAdmin/"]</t>
  </si>
  <si>
    <t>R22</t>
  </si>
  <si>
    <t>ID.AM-01 asset inventory; ID.RA-01 vulnerabilities identified and validated; PR.AA-01/03/05 identities, authentication and least privilege; PR.DS-02 data in transit; PR.IR-01 network protection; PR.PS-01 configuration management; PR.PS-02 software maintained and replaced; PR.PS-04 log records generated.</t>
  </si>
  <si>
    <t>ISO/IEC 27001:2022 Annex A</t>
  </si>
  <si>
    <t>A.5.9 inventory; A.5.15 access control; A.5.17 authentication information; A.8.3 information access restriction; A.8.5 secure authentication; A.8.8 technical vulnerability management; A.8.9 configuration management; A.8.17 clock synchronisation; A.8.19 software installation; A.8.20 network security; A.8.22 segregation of networks; A.8.24 cryptography; A.8.26 application security requirements.</t>
  </si>
  <si>
    <t>[phpmyadmin-panel] [http] [info] http://192.168.164.129/phpMyAdmin/ [paths="/phpMyAdmin/"]</t>
  </si>
  <si>
    <t>phpinfo-files</t>
  </si>
  <si>
    <t>192.168.164.129/phpinfo.php</t>
  </si>
  <si>
    <t>[paths="/phpinfo.php"]</t>
  </si>
  <si>
    <t>R23</t>
  </si>
  <si>
    <t>PCI DSS v4.0</t>
  </si>
  <si>
    <t>Req. 1 network controls; 2.2.x secure configuration (2.2.2 vendor defaults, 2.2.4 only necessary services, 2.2.7 encrypted admin access); 4.2.1 strong cryptography in transit; 6.2 / 6.3 secure software and patching; 7.2 access control; 8.3 authentication; 10.6 time synchronisation. Only applicable if the host is in the cardholder-data environment.</t>
  </si>
  <si>
    <t>Lab-brief cross-reference</t>
  </si>
  <si>
    <t>Lab text cites CIS Control 9 (v7 'Limitation and Control of Network Ports, Protocols and Services') = v8 safeguards 4.8 and 12.2/13.4; NIST CSF 1.1 ID.AM-1 = CSF 2.0 ID.AM-01; PR.IP-1 = PR.PS-01; PR.DS-2 = PR.DS-02; PR.AC-1 = PR.AA-01; CIS 7.1 = vulnerability management process (7.1 in v8).</t>
  </si>
  <si>
    <t>[phpinfo-files] [http] [low] http://192.168.164.129/phpinfo.php [paths="/phpinfo.php"]</t>
  </si>
  <si>
    <t>http-trace:trace-request</t>
  </si>
  <si>
    <t>192.168.164.129</t>
  </si>
  <si>
    <t>R33</t>
  </si>
  <si>
    <t>Source-code disclosure and potential remote code execution through the web server.</t>
  </si>
  <si>
    <t>Restrict public access to the web server; disable php-cgi in favour of a module/FPM setup.</t>
  </si>
  <si>
    <t>Upgrade PHP to a supported version; apply web application firewall rules; include in regular web scans.</t>
  </si>
  <si>
    <t>Template-based detection; confirm manually before stating exploitability.</t>
  </si>
  <si>
    <t>[http-trace:trace-request] [http] [info] http://192.168.164.129</t>
  </si>
  <si>
    <t>apache-mod-negotiation-listing:exposed_files</t>
  </si>
  <si>
    <t>192.168.164.129/index</t>
  </si>
  <si>
    <t>["index.php"] [path="/index"]</t>
  </si>
  <si>
    <t>R35</t>
  </si>
  <si>
    <t>[apache-mod-negotiation-listing:exposed_files] [http] [low] http://192.168.164.129/index ["index.php"] [path="/index"]</t>
  </si>
  <si>
    <t>php-detect</t>
  </si>
  <si>
    <t>R14</t>
  </si>
  <si>
    <t>["5.2.4"]</t>
  </si>
  <si>
    <t>End-of-life web stack: Apache 2.2.8 and PHP 5.2.4</t>
  </si>
  <si>
    <t>Nikto Scan Results (27 items)</t>
  </si>
  <si>
    <t>Both the web server and PHP runtime are well past vendor end of life and no longer receive security updates; many known vulnerabilities (including R13) apply.</t>
  </si>
  <si>
    <t>Apache/2.2.8 (Ubuntu) DAV/2; PHP/5.2.4-2ubuntu5.10</t>
  </si>
  <si>
    <t>Nmap; Nikto; Nuclei</t>
  </si>
  <si>
    <t>Nikto outdated-version notice; Nuclei apache-httpd-eol and php-eol</t>
  </si>
  <si>
    <t>Nikto v2.5.0, http://192.168.164.129:80, 22 Oct 2026 05:30:48 - 05:31:40 (GMT-4); 8,910 requests, 0 errors, 27 items reported. Server: Apache/2.2.8 (Ubuntu) DAV/2.</t>
  </si>
  <si>
    <t>Nikto: 'Apache/2.2.8 appears to be outdated (current is at least Apache/2.4.54). Apache 2.2.34 is the EOL for the 2.x branch'; X-Powered-By PHP/5.2.4-2ubuntu5.10. Nuclei [apache-httpd-eol:version] '2.2.8'; [php-eol:version] '5.2.4'.</t>
  </si>
  <si>
    <t>Observed (banners)</t>
  </si>
  <si>
    <t>Finding reported by Nikto</t>
  </si>
  <si>
    <t>Path</t>
  </si>
  <si>
    <t>Category</t>
  </si>
  <si>
    <t>[php-detect] [http] [info] http://192.168.164.129 ["5.2.4"]</t>
  </si>
  <si>
    <t>waf-detect:apachegeneric</t>
  </si>
  <si>
    <t>X-Powered-By header retrieved: PHP/5.2.4-2ubuntu5.10</t>
  </si>
  <si>
    <t>/</t>
  </si>
  <si>
    <t>Information disclosure</t>
  </si>
  <si>
    <t>Anti-clickjacking X-Frame-Options header not present</t>
  </si>
  <si>
    <t>Missing header</t>
  </si>
  <si>
    <t>R34</t>
  </si>
  <si>
    <t>X-Content-Type-Options header not set (MIME sniffing)</t>
  </si>
  <si>
    <t>Apache/2.2.8 outdated (current is at least 2.4.54; 2.2.34 is EOL for the 2.x branch)</t>
  </si>
  <si>
    <t>[waf-detect:apachegeneric] [http] [info] http://192.168.164.129</t>
  </si>
  <si>
    <t>Outdated software</t>
  </si>
  <si>
    <t>CVE-2026-4480:version</t>
  </si>
  <si>
    <t>javascript</t>
  </si>
  <si>
    <t>192.168.164.129:445</t>
  </si>
  <si>
    <t>Uncommon header 'tcn' found, with contents: list</t>
  </si>
  <si>
    <t>["3.0.20"]</t>
  </si>
  <si>
    <t>/index</t>
  </si>
  <si>
    <t>mod_negotiation enabled with MultiViews; alternative 'index.php' found (file-name brute forcing)</t>
  </si>
  <si>
    <t>Misconfiguration</t>
  </si>
  <si>
    <t>Server returns a valid response with junk HTTP methods (KOVKERUA); possible false positive</t>
  </si>
  <si>
    <t>Behaviour / possible false positive</t>
  </si>
  <si>
    <t>HTTP TRACE method active (suggests vulnerability to XST)</t>
  </si>
  <si>
    <t>Insecure method</t>
  </si>
  <si>
    <t>Output from phpinfo() found</t>
  </si>
  <si>
    <t>/phpinfo.php</t>
  </si>
  <si>
    <t>[CVE-2026-4480:version] [javascript] [critical] 192.168.164.129:445 ["3.0.20"]</t>
  </si>
  <si>
    <t>postgres-default-logins</t>
  </si>
  <si>
    <t>Directory indexing found</t>
  </si>
  <si>
    <t>/doc/</t>
  </si>
  <si>
    <t>Directory listing</t>
  </si>
  <si>
    <t>192.168.164.129:5432</t>
  </si>
  <si>
    <t>R24</t>
  </si>
  <si>
    <t>passwords='postgres', usernames='postgres'</t>
  </si>
  <si>
    <t>/doc/ directory browsable (may be /usr/doc), CVE-1999-0678</t>
  </si>
  <si>
    <t>PHP reveals potentially sensitive information via query string (OSVDB-12184) - ID PHPB8B5F2A0-3C92-11d3-A3A9-4C7B08C10000</t>
  </si>
  <si>
    <t>/?=PHPB8B5F2A0-...</t>
  </si>
  <si>
    <t>PHP reveals potentially sensitive information via query string (OSVDB-12184) - ID PHPE9568F36-D428-11d2-A769-00AA001ACF42</t>
  </si>
  <si>
    <t>/?=PHPE9568F36-...</t>
  </si>
  <si>
    <t>PHP reveals potentially sensitive information via query string (OSVDB-12184) - ID PHPE9568F34-D428-11d2-A769-00AA001ACF42</t>
  </si>
  <si>
    <t>/?=PHPE9568F34-...</t>
  </si>
  <si>
    <t>[postgres-default-logins] [javascript] [high] 192.168.164.129:5432 [FQDN="192.168.164.129",Host="192.168.164.129",Hostname="192.168.164.129:5432",Port="5432",passwords="postgres",usernames="postgres"]</t>
  </si>
  <si>
    <t>PHP reveals potentially sensitive information via query string (OSVDB-12184) - ID PHPE9568F35-D428-11d2-A769-00AA001ACF42</t>
  </si>
  <si>
    <t>/?=PHPE9568F35-...</t>
  </si>
  <si>
    <t>vnc-default-login</t>
  </si>
  <si>
    <t>192.168.164.129:5900</t>
  </si>
  <si>
    <t>phpMyAdmin is for managing MySQL databases and should be protected or limited to authorized hosts</t>
  </si>
  <si>
    <t>passwords='password'</t>
  </si>
  <si>
    <t>/phpMyAdmin/changelog.php</t>
  </si>
  <si>
    <t>Exposed admin interface</t>
  </si>
  <si>
    <t>Server may leak inodes via ETags; ChangeLog inode 92462, size 40540, mtime 9 Dec 2008 (CVE-2003-1418)</t>
  </si>
  <si>
    <t>/phpMyAdmin/ChangeLog</t>
  </si>
  <si>
    <t>phpMyAdmin should be protected or limited to authorized hosts</t>
  </si>
  <si>
    <t>/test/</t>
  </si>
  <si>
    <t>'This might be interesting' - test content present</t>
  </si>
  <si>
    <t>Test content</t>
  </si>
  <si>
    <t>Web compromise, information disclosure or denial of service; non-compliance with patching expectations.</t>
  </si>
  <si>
    <t>PHP installed and a test script that runs phpinfo() found (CWE-552)</t>
  </si>
  <si>
    <t>CIS 2.2, 7.4, 7.7</t>
  </si>
  <si>
    <t>PR.PS-02; ID.RA-01</t>
  </si>
  <si>
    <t>A.8.8; A.8.19</t>
  </si>
  <si>
    <t>Req. 6.3.3</t>
  </si>
  <si>
    <t>Restrict web exposure to authorised users; plan immediate upgrade path.</t>
  </si>
  <si>
    <t>/icons/</t>
  </si>
  <si>
    <t>Migrate to supported Apache 2.4.x and PHP 8.x; adopt patch SLAs and automated update monitoring.</t>
  </si>
  <si>
    <t>Do not equate banners alone with exploitable CVEs; vendor back-ports may apply.</t>
  </si>
  <si>
    <t>Apache default file found</t>
  </si>
  <si>
    <t>[vnc-default-login] [javascript] [high] 192.168.164.129:5900 [FQDN="192.168.164.129",Host="192.168.164.129",Hostname="192.168.164.129:5900",Port="5900",passwords="password"]</t>
  </si>
  <si>
    <t>/icons/README</t>
  </si>
  <si>
    <t>Default content</t>
  </si>
  <si>
    <t>phpMyAdmin directory found</t>
  </si>
  <si>
    <t>/phpMyAdmin/</t>
  </si>
  <si>
    <t>passwords='password123'</t>
  </si>
  <si>
    <t>phpMyAdmin documentation exposed</t>
  </si>
  <si>
    <t>/phpMyAdmin/Documentation.html</t>
  </si>
  <si>
    <t>phpMyAdmin README exposed</t>
  </si>
  <si>
    <t>/phpMyAdmin/README</t>
  </si>
  <si>
    <t>'#wp-config.php#' file reported (may contain credentials) - unverified</t>
  </si>
  <si>
    <t>/#wp-config.php#</t>
  </si>
  <si>
    <t>Possible credential exposure</t>
  </si>
  <si>
    <t>R25</t>
  </si>
  <si>
    <t>[vnc-default-login] [javascript] [high] 192.168.164.129:5900 [FQDN="192.168.164.129",Host="192.168.164.129",Hostname="192.168.164.129:5900",Port="5900",passwords="password123"]</t>
  </si>
  <si>
    <t>samba-detect</t>
  </si>
  <si>
    <t>Legacy database services exposed to the network</t>
  </si>
  <si>
    <t>["Samba 3.0.20-Debian"]</t>
  </si>
  <si>
    <t>Both database engines are unsupported releases directly reachable on the network instead of being limited to application servers.</t>
  </si>
  <si>
    <t>MySQL 5.0.51a-3ubuntu5; PostgreSQL 8.3.0 - 8.3.7</t>
  </si>
  <si>
    <t>TCP/3306, 5432</t>
  </si>
  <si>
    <t>Nmap version banners; Nuclei pgsql-detect</t>
  </si>
  <si>
    <t>Nmap mysql-info: protocol 10, version 5.0.51a-3ubuntu5, status Autocommit. Nmap: PostgreSQL DB 8.3.0 - 8.3.7. Nuclei [pgsql-detect] info.</t>
  </si>
  <si>
    <t>[samba-detect] [javascript] [info] 192.168.164.129:445 ["Samba 3.0.20-Debian"]</t>
  </si>
  <si>
    <t>pgsql-default-db</t>
  </si>
  <si>
    <t>database='postgres', password='postgres', usernames='postgres'</t>
  </si>
  <si>
    <t>[pgsql-default-db] [javascript] [high] 192.168.164.129:5432 [FQDN="192.168.164.129",Host="192.168.164.129",Hostname="192.168.164.129:5432",Port="5432",database="postgres",password="postgres",usernames="postgres"]</t>
  </si>
  <si>
    <t>database='postgres', password='', usernames='postgres'</t>
  </si>
  <si>
    <t>[pgsql-default-db] [javascript] [high] 192.168.164.129:5432 [FQDN="192.168.164.129",Host="192.168.164.129",Hostname="192.168.164.129:5432",Port="5432",database="postgres",password="",usernames="postgres"]</t>
  </si>
  <si>
    <t>database='template1', password='postgres', usernames='postgres'</t>
  </si>
  <si>
    <t>[pgsql-default-db] [javascript] [high] 192.168.164.129:5432 [FQDN="192.168.164.129",Host="192.168.164.129",Hostname="192.168.164.129:5432",Port="5432",database="template1",password="postgres",usernames="postgres"]</t>
  </si>
  <si>
    <t>database='template1', password='', usernames='postgres'</t>
  </si>
  <si>
    <t>[pgsql-default-db] [javascript] [high] 192.168.164.129:5432 [FQDN="192.168.164.129",Host="192.168.164.129",Hostname="192.168.164.129:5432",Port="5432",database="template1",password="",usernames="postgres"]</t>
  </si>
  <si>
    <t>Unauthorised data access, tampering or disruption if authentication or patching is weak (see R03).</t>
  </si>
  <si>
    <t>ntlm-info</t>
  </si>
  <si>
    <t>Bind databases to localhost or an internal interface; restrict by host firewall.</t>
  </si>
  <si>
    <t>Upgrade to supported releases; enforce encrypted connections and least-privilege accounts.</t>
  </si>
  <si>
    <t>MySQL authentication was not tested in this assessment.</t>
  </si>
  <si>
    <t>["NTLM: Samba 3.0.20-Debian"]</t>
  </si>
  <si>
    <t>[ntlm-info] [javascript] [info] 192.168.164.129:445 ["NTLM: Samba 3.0.20-Debian"]</t>
  </si>
  <si>
    <t>smb-v1-supported</t>
  </si>
  <si>
    <t>Ruby DRb (distributed Ruby) service exposed</t>
  </si>
  <si>
    <t>DRb exposes Ruby objects over the network and, unless access control and taint checks are configured, can allow remote method invocation that leads to code execution.</t>
  </si>
  <si>
    <t>TCP/8787</t>
  </si>
  <si>
    <t>Nmap service identification</t>
  </si>
  <si>
    <t>Nmap: '8787/tcp open drb Ruby DRb RMI (Ruby 1.8; path /usr/lib/ruby/1.8/drb)'.</t>
  </si>
  <si>
    <t>Observed (Nmap -sV); exploitability to validate</t>
  </si>
  <si>
    <t>[smb-v1-supported] [javascript] [info] 192.168.164.129:445</t>
  </si>
  <si>
    <t>smb-version-detect:smb-version</t>
  </si>
  <si>
    <t>["SMB 1.0"]</t>
  </si>
  <si>
    <t>[smb-version-detect:smb-version] [javascript] [info] 192.168.164.129:445 ["SMB 1.0"]</t>
  </si>
  <si>
    <t>pgsql-empty-password</t>
  </si>
  <si>
    <t>[pgsql-empty-password] [javascript] [critical] 192.168.164.129:5432</t>
  </si>
  <si>
    <t>netbios-udp-detect</t>
  </si>
  <si>
    <t>192.168.164.129:137</t>
  </si>
  <si>
    <t>["NetBIOS Name Service Detected"]</t>
  </si>
  <si>
    <t>R38</t>
  </si>
  <si>
    <t>[netbios-udp-detect] [javascript] [info] 192.168.164.129:137 ["NetBIOS Name Service Detected"]</t>
  </si>
  <si>
    <t>rpc-udp-detect</t>
  </si>
  <si>
    <t>192.168.164.129:111</t>
  </si>
  <si>
    <t>["RPC Portmapper UDP Detected"]</t>
  </si>
  <si>
    <t>[rpc-udp-detect] [javascript] [info] 192.168.164.129:111 ["RPC Portmapper UDP Detected"]</t>
  </si>
  <si>
    <t>192.168.164.129:3632</t>
  </si>
  <si>
    <t>Potential remote code execution on the host.</t>
  </si>
  <si>
    <t>Stop the DRb service; block TCP/8787.</t>
  </si>
  <si>
    <t>Remove unnecessary Ruby services; if needed, bind to localhost and use ACLs.</t>
  </si>
  <si>
    <t>Access-control configuration not reviewed.</t>
  </si>
  <si>
    <t>[CVE-2004-2687] [tcp] [high] 192.168.164.129:3632</t>
  </si>
  <si>
    <t>CVE-2015-1419:version</t>
  </si>
  <si>
    <t>192.168.164.129:21</t>
  </si>
  <si>
    <t>["2.3.4"]</t>
  </si>
  <si>
    <t>R30</t>
  </si>
  <si>
    <t>Remediation Roadmap</t>
  </si>
  <si>
    <t>Phased plan aligned to the priority and SLA columns of the Risk Register. Target dates are counted from the register date on 'Scoring &amp; Notes'.</t>
  </si>
  <si>
    <t>Phase</t>
  </si>
  <si>
    <t>[CVE-2015-1419:version] [tcp] [medium] 192.168.164.129:21 ["2.3.4"]</t>
  </si>
  <si>
    <t>Timeline</t>
  </si>
  <si>
    <t>End-of-life Apache Tomcat 5.5 application server</t>
  </si>
  <si>
    <t>CVE-2021-30047:version</t>
  </si>
  <si>
    <t>Tomcat 5.5 has been unsupported for many years, accumulates unpatched vulnerabilities and often retains a default manager interface.</t>
  </si>
  <si>
    <t>Apache Tomcat/Coyote JSP engine 1.1 (Tomcat 5.5)</t>
  </si>
  <si>
    <t>Key actions</t>
  </si>
  <si>
    <t>TCP/8180</t>
  </si>
  <si>
    <t>Nmap http-title 'Apache Tomcat/5.5'</t>
  </si>
  <si>
    <t>Exit criteria</t>
  </si>
  <si>
    <t>Nmap: 8180/tcp http Apache Tomcat/Coyote JSP engine 1.1; http-title Apache Tomcat/5.5; http-server-header Apache-Coyote/1.1.</t>
  </si>
  <si>
    <t>Observed (Nmap)</t>
  </si>
  <si>
    <t>Phase 0 - Contain</t>
  </si>
  <si>
    <t>Immediately (0-24 h)</t>
  </si>
  <si>
    <t>-</t>
  </si>
  <si>
    <t>All (host-level)</t>
  </si>
  <si>
    <t>Keep the VM on an isolated host-only/VLAN network with no route to production or the internet; take a snapshot for evidence; record the owner and purpose of the asset.</t>
  </si>
  <si>
    <t>GRC lead; network engineer</t>
  </si>
  <si>
    <t>Isolation confirmed by a failed ping/scan from production network.</t>
  </si>
  <si>
    <t>Phase 1 - Remove critical exposure</t>
  </si>
  <si>
    <t>0-7 days</t>
  </si>
  <si>
    <t>P1</t>
  </si>
  <si>
    <t>[CVE-2021-30047:version] [tcp] [high] 192.168.164.129:21 ["2.3.4"]</t>
  </si>
  <si>
    <t>R01, R02, R03, R04, R05, R06</t>
  </si>
  <si>
    <t>ftp-weak-credentials</t>
  </si>
  <si>
    <t>Disable vsftpd, the bind shell on 1524, distccd and AJP; reset PostgreSQL and VNC credentials and restrict listeners; block the associated ports in a default-deny host firewall.</t>
  </si>
  <si>
    <t>System administrator; DBA; application owner</t>
  </si>
  <si>
    <t>password='password', username='ftp'</t>
  </si>
  <si>
    <t>Re-scan shows ports closed or restricted; Nuclei critical results cleared.</t>
  </si>
  <si>
    <t>Phase 2 - Reduce high risk</t>
  </si>
  <si>
    <t>8-30 days</t>
  </si>
  <si>
    <t>P2</t>
  </si>
  <si>
    <t>R07, R08, R09, R10, R11, R12, R13, R14, R15, R16, R17, R18, R19, R20</t>
  </si>
  <si>
    <t>Disable Telnet, r-services, anonymous FTP and UnrealIRCd; patch or retire Samba, PHP, Apache, Tomcat, databases and DRb; disable SMBv1 and require signing; remove SSLv2; apply a firewall allow-list.</t>
  </si>
  <si>
    <t>System administrator; application owner; network engineer</t>
  </si>
  <si>
    <t>Re-scan shows no high findings or documented risk acceptance with compensating controls.</t>
  </si>
  <si>
    <t>Phase 3 - Harden and tidy</t>
  </si>
  <si>
    <t>31-90 days</t>
  </si>
  <si>
    <t>P3</t>
  </si>
  <si>
    <t>R21, R22, R23, R24, R25, R26, R27, R28, R29, R30</t>
  </si>
  <si>
    <t>Restrict NFS, phpMyAdmin and RMI; remove phpinfo and test content; disable directory indexing; upgrade SSH and BIND; verify #wp-config.php# result.</t>
  </si>
  <si>
    <t>Application owner; system administrator</t>
  </si>
  <si>
    <t>Medium findings closed or scheduled; web scan clean of exposed test content.</t>
  </si>
  <si>
    <t>Phase 4 - Routine improvement</t>
  </si>
  <si>
    <t>91-180 days</t>
  </si>
  <si>
    <t>P4</t>
  </si>
  <si>
    <t>R31, R32, R33, R34, R35, R36, R37, R38</t>
  </si>
  <si>
    <t>[ftp-weak-credentials] [tcp] [high] 192.168.164.129:21 [password="password",username="ftp"]</t>
  </si>
  <si>
    <t>Add security headers, hide version banners, disable TRACE and VRFY, renew certificates, configure NTP, block NetBIOS/RPC and X11.</t>
  </si>
  <si>
    <t>Application owner; messaging administrator</t>
  </si>
  <si>
    <t>Low findings closed or accepted.</t>
  </si>
  <si>
    <t>Governance</t>
  </si>
  <si>
    <t>Ongoing</t>
  </si>
  <si>
    <t>password='default', username='ftp'</t>
  </si>
  <si>
    <t>R19, R20, L01-L07</t>
  </si>
  <si>
    <t>Adopt a hardened build baseline (CIS Benchmark) for development servers; add the asset to the inventory; set patch SLAs; schedule monthly authenticated scans; document template versions and evidence for each scan; retest after remediation.</t>
  </si>
  <si>
    <t>GRC lead; IT management</t>
  </si>
  <si>
    <t>Baseline approved; retest report issued; residual risk signed off.</t>
  </si>
  <si>
    <t>[ftp-weak-credentials] [tcp] [high] 192.168.164.129:21 [password="default",username="ftp"]</t>
  </si>
  <si>
    <t>password='nas', username='ftp'</t>
  </si>
  <si>
    <t>Application compromise, credential exposure and possible code deployment through management interfaces.</t>
  </si>
  <si>
    <t>[ftp-weak-credentials] [tcp] [high] 192.168.164.129:21 [password="nas",username="ftp"]</t>
  </si>
  <si>
    <t>Restrict access to TCP/8180; verify that default manager credentials and sample apps are removed.</t>
  </si>
  <si>
    <t>Upgrade to a supported Tomcat release; remove sample applications; apply a hardening baseline.</t>
  </si>
  <si>
    <t>Manager interface and credentials not tested.</t>
  </si>
  <si>
    <t>ftp-detect</t>
  </si>
  <si>
    <t>[ftp-detect] [tcp] [info] 192.168.164.129:21</t>
  </si>
  <si>
    <t>vsftpd-detect:version</t>
  </si>
  <si>
    <t>R18</t>
  </si>
  <si>
    <t>SSLv2 and weak ciphers supported by SMTP service</t>
  </si>
  <si>
    <t>SSLv2 is a broken protocol, and the offered ciphers include export-grade, single DES and MD5-based suites.</t>
  </si>
  <si>
    <t>TCP/25</t>
  </si>
  <si>
    <t>Nmap sslv2 script; obsolete protocol (no CVE)</t>
  </si>
  <si>
    <t>Nmap sslv2: 'SSLv2 supported' with ciphers SSL2_RC4_128_WITH_MD5, SSL2_DES_192_EDE3_CBC_WITH_MD5, SSL2_RC4_128_EXPORT40_WITH_MD5, SSL2_RC2_128_CBC_EXPORT40_WITH_MD5, SSL2_RC2_128_CBC_WITH_MD5, SSL2_DES_64_CBC_WITH_MD5.</t>
  </si>
  <si>
    <t>Observed (Nmap script)</t>
  </si>
  <si>
    <t>[vsftpd-detect:version] [tcp] [info] 192.168.164.129:21 ["2.3.4"]</t>
  </si>
  <si>
    <t>nfs-v3-exposed</t>
  </si>
  <si>
    <t>192.168.164.129:2049</t>
  </si>
  <si>
    <t>Assessment Limitations and Evidence Notes</t>
  </si>
  <si>
    <t>Not target vulnerabilities. Replaces the earlier 'R10 Nuclei scan incomplete' row now that the Nuclei scan has completed.</t>
  </si>
  <si>
    <t>Limitation</t>
  </si>
  <si>
    <t>Detail</t>
  </si>
  <si>
    <t>Mitigation / next step</t>
  </si>
  <si>
    <t>L01</t>
  </si>
  <si>
    <t>[nfs-v3-exposed] [tcp] [info] 192.168.164.129:2049</t>
  </si>
  <si>
    <t>Nuclei template download failed</t>
  </si>
  <si>
    <t>pgsql-detect</t>
  </si>
  <si>
    <t>Initial 'nuclei -update-templates' timed out (context deadline exceeded); the first scan stopped with 'no templates provided for scan' and wrote a 0-byte output file.</t>
  </si>
  <si>
    <t>Resolved: templates were obtained with 'git clone --depth 1 https://github.com/projectdiscovery/nuclei-templates.git ~/nuclei-templates' (14,474 files) and the scan completed with 59 results. Record the template version used and retain the template update log.</t>
  </si>
  <si>
    <t>Closed</t>
  </si>
  <si>
    <t>[pgsql-detect] [tcp] [info] 192.168.164.129:5432</t>
  </si>
  <si>
    <t>openssh-detect</t>
  </si>
  <si>
    <t>192.168.164.129:22</t>
  </si>
  <si>
    <t>["SSH-2.0-OpenSSH_4.7p1 Debian-8ubuntu1"]</t>
  </si>
  <si>
    <t>L02</t>
  </si>
  <si>
    <t>Scanner results are partly version-based</t>
  </si>
  <si>
    <t>Several Nuclei matches (for example CVE-2026-4480, CVE-2015-1419, CVE-2021-30047) rely on version strings, and Nmap/Nikto findings rely on banners.</t>
  </si>
  <si>
    <t>Validate installed package builds and configuration before treating as confirmed exploitable.</t>
  </si>
  <si>
    <t>[openssh-detect] [tcp] [info] 192.168.164.129:22 ["SSH-2.0-OpenSSH_4.7p1 Debian-8ubuntu1"]</t>
  </si>
  <si>
    <t>vnc-service-detect</t>
  </si>
  <si>
    <t>L03</t>
  </si>
  <si>
    <t>["RFB 003.003"]</t>
  </si>
  <si>
    <t>No credentialed or authenticated testing</t>
  </si>
  <si>
    <t>Weakened confidentiality and integrity of mail transport and possible downgrade attacks.</t>
  </si>
  <si>
    <t>The host was assessed from the network only; no local configuration review, patch inventory or file-system inspection was done.</t>
  </si>
  <si>
    <t>Perform a credentialed scan or configuration review (for example with Lynis or OpenSCAP) to confirm findings.</t>
  </si>
  <si>
    <t>Disable SSLv2 and SSLv3 in the Postfix TLS settings.</t>
  </si>
  <si>
    <t>L04</t>
  </si>
  <si>
    <t>Allow only TLS 1.2+ with modern cipher suites; renew certificates (see R31).</t>
  </si>
  <si>
    <t>UDP ports not scanned</t>
  </si>
  <si>
    <t>Observed by Nmap script.</t>
  </si>
  <si>
    <t>Messaging administrator</t>
  </si>
  <si>
    <t>Nmap -p- covers TCP only. UDP exposure was seen only where Nuclei probed UDP/137 and UDP/111.</t>
  </si>
  <si>
    <t>Run a targeted UDP scan (for example nmap -sU --top-ports 100).</t>
  </si>
  <si>
    <t>L05</t>
  </si>
  <si>
    <t>Single point-in-time, same-segment assessment</t>
  </si>
  <si>
    <t>Scans ran from 192.168.164.128 on the same subnet on 22 October 2026, so no intermediate firewall was tested and results reflect one moment.</t>
  </si>
  <si>
    <t>Repeat after remediation and from a representative network location.</t>
  </si>
  <si>
    <t>[vnc-service-detect] [tcp] [info] 192.168.164.129:5900 ["RFB 003.003"]</t>
  </si>
  <si>
    <t>L06</t>
  </si>
  <si>
    <t>No exploitation performed</t>
  </si>
  <si>
    <t>No exploit payloads were run and no interactive shell was opened. Some Nuclei templates send active probes (for example CVE-2011-2523 and CVE-2012-1823).</t>
  </si>
  <si>
    <t>192.168.164.129:8009</t>
  </si>
  <si>
    <t>Obtain explicit approval before any manual validation of backdoors or shells.</t>
  </si>
  <si>
    <t>Noted</t>
  </si>
  <si>
    <t>L07</t>
  </si>
  <si>
    <t>Possible scanner false positives</t>
  </si>
  <si>
    <t>Nikto reported a junk-method response and a '#wp-config.php#' file that may be false positives; the eight FTP weak-credential hits share one anonymous account.</t>
  </si>
  <si>
    <t>Review each item manually and record the outcome.</t>
  </si>
  <si>
    <t>Evidence inventory</t>
  </si>
  <si>
    <t>R19</t>
  </si>
  <si>
    <t>Unsupported legacy operating system</t>
  </si>
  <si>
    <t>initial_scan.nmap / .xml / .gnmap</t>
  </si>
  <si>
    <t>The kernel and distribution are far beyond vendor support, so security fixes for the OS and base packages are unavailable.</t>
  </si>
  <si>
    <t>Linux 2.6.9 - 2.6.33</t>
  </si>
  <si>
    <t>Nmap raw output (1.8 KB gnmap, 6.2 KB nmap, 26 KB xml, saved 05:00)</t>
  </si>
  <si>
    <t>Host</t>
  </si>
  <si>
    <t>[CVE-2020-1938] [tcp] [critical] 192.168.164.129:8009</t>
  </si>
  <si>
    <t>Nmap OS detection</t>
  </si>
  <si>
    <t>smtp-detect</t>
  </si>
  <si>
    <t>Nmap: 'OS match: Linux 2.6.9 - 2.6.33 (100%)'; OS CPE cpe:/o:linux:linux_kernel:2.6; package banners such as 'Ubuntu 4.2.4-1ubuntu4' indicate an old Ubuntu release.</t>
  </si>
  <si>
    <t>Observed (Nmap -O, 100% match)</t>
  </si>
  <si>
    <t>192.168.164.129:25</t>
  </si>
  <si>
    <t>R32</t>
  </si>
  <si>
    <t>initial_scan_report.html (20 KB)</t>
  </si>
  <si>
    <t>xsltproc-generated HTML report; screenshots and PDF saved</t>
  </si>
  <si>
    <t>nikto_scan.txt (3.4 KB)</t>
  </si>
  <si>
    <t>Nikto output, saved 05:31</t>
  </si>
  <si>
    <t>nuclei_template_update.txt (468 B)</t>
  </si>
  <si>
    <t>Template update failure log (context deadline exceeded)</t>
  </si>
  <si>
    <t>[smtp-detect] [tcp] [info] 192.168.164.129:25</t>
  </si>
  <si>
    <t>esmtp-detect</t>
  </si>
  <si>
    <t>nuclei_scan.txt</t>
  </si>
  <si>
    <t>First attempt was 0 bytes (no templates); re-run after template clone produced the 59 results listed here - save the new file to the evidence folder</t>
  </si>
  <si>
    <t>[esmtp-detect] [tcp] [info] 192.168.164.129:25</t>
  </si>
  <si>
    <t>smtp-commands-enum:ehlo</t>
  </si>
  <si>
    <t>["DSN","PIPELINING","SIZE 10240000","VRFY","ETRN","STARTTLS","ENHANCEDSTATUSCODES","8BITMIME"]</t>
  </si>
  <si>
    <t>[smtp-commands-enum:ehlo] [tcp] [info] 192.168.164.129:25 ["DSN","PIPELINING","SIZE 10240000","VRFY","ETRN","STARTTLS","ENHANCEDSTATUSCODES","8BITMIME"]</t>
  </si>
  <si>
    <t>192.168.164.129:6200</t>
  </si>
  <si>
    <t>[CVE-2011-2523] [tcp] [critical] 192.168.164.129:6200</t>
  </si>
  <si>
    <t>ftp-anonymous-login</t>
  </si>
  <si>
    <t>Persistent exposure to known kernel and library vulnerabilities, including local privilege escalation.</t>
  </si>
  <si>
    <t>Keep the host isolated; do not store real data.</t>
  </si>
  <si>
    <t>Rebuild on a supported OS from a hardened baseline image.</t>
  </si>
  <si>
    <t>OS fingerprint is probabilistic.</t>
  </si>
  <si>
    <t>[ftp-anonymous-login] [tcp] [medium] 192.168.164.129:21</t>
  </si>
  <si>
    <t>password='123456', username='ftp'</t>
  </si>
  <si>
    <t>R20</t>
  </si>
  <si>
    <t>Excessive attack surface and no network filtering</t>
  </si>
  <si>
    <t>Thirty services listen with no sign of host or network firewall filtering (every closed port answers with a reset). Most of the services are unnecessary for a development server.</t>
  </si>
  <si>
    <t>Host-wide</t>
  </si>
  <si>
    <t>30 open TCP ports</t>
  </si>
  <si>
    <t>[ftp-weak-credentials] [tcp] [high] 192.168.164.129:21 [password="123456",username="ftp"]</t>
  </si>
  <si>
    <t>Nmap full TCP scan</t>
  </si>
  <si>
    <t>Nmap: 65,535 ports scanned; 30 open; 65,505 closed (reset); 0 filtered.</t>
  </si>
  <si>
    <t>Observed (Nmap -p-)</t>
  </si>
  <si>
    <t>password='guest', username='ftp'</t>
  </si>
  <si>
    <t>Topic</t>
  </si>
  <si>
    <t>Guidance</t>
  </si>
  <si>
    <t>[ftp-weak-credentials] [tcp] [high] 192.168.164.129:21 [password="guest",username="ftp"]</t>
  </si>
  <si>
    <t>password='stingray', username='ftp'</t>
  </si>
  <si>
    <t>Risk ratings</t>
  </si>
  <si>
    <t>Preliminary inherent-risk judgements for the lab, not CVSS scores. Rating = Likelihood (1-5) x Impact (1-5); thresholds are set in the 'Rating thresholds' table below. Reassess after validation and considering environment, compensating controls and exploitability.</t>
  </si>
  <si>
    <t>High risk criteria</t>
  </si>
  <si>
    <t>Lab brief: relatively easy to exploit and may lead to full system compromise. In this register Critical and High both map to lab rating H.</t>
  </si>
  <si>
    <t>[ftp-weak-credentials] [tcp] [high] 192.168.164.129:21 [password="stingray",username="ftp"]</t>
  </si>
  <si>
    <t>Medium risk criteria</t>
  </si>
  <si>
    <t>Lab brief: requires some skill and may lead to data leakage. Maps to lab rating M.</t>
  </si>
  <si>
    <t>password='pass1', username='ftp'</t>
  </si>
  <si>
    <t>Low risk criteria</t>
  </si>
  <si>
    <t>Lab brief: limited information disclosure or lower impact. Maps to lab rating L.</t>
  </si>
  <si>
    <t>CVE validation</t>
  </si>
  <si>
    <t>[ftp-weak-credentials] [tcp] [high] 192.168.164.129:21 [password="pass1",username="ftp"]</t>
  </si>
  <si>
    <t>A service/version banner does not by itself prove a CVE is applicable or exploitable. Verify installed build and configuration before final reporting. Findings whose 'Status / validation' says 'version-based' or 'Observed' are not confirmed exploits.</t>
  </si>
  <si>
    <t>password='toor', username='ftp'</t>
  </si>
  <si>
    <t>Compliance mapping</t>
  </si>
  <si>
    <t>Mappings are suggested control alignments (CIS Controls v8, NIST CSF 2.0, ISO/IEC 27001:2022 Annex A, PCI DSS v4.0, OWASP Top 10 2021), not proof of formal non-compliance. Apply PCI DSS only if the system is in the relevant scope. The lab brief cites older numbering (CIS Control 9, NIST CSF 1.1 PR.IP-1/PR.DS-2/PR.AC-1); equivalents are CIS 4.8 / 12 and CSF 2.0 PR.PS-01 / PR.DS-02 / PR.AA.</t>
  </si>
  <si>
    <t>Nuclei scan</t>
  </si>
  <si>
    <t>Nuclei templates initially failed to download (timeout) and the first run found no templates. The nuclei-templates repository was then cloned manually and the scan completed with 59 results (4 critical, 18 high, 2 medium, 2 low, 33 info; see 'Nuclei Results'). Coverage is limited to the templates used, and several matches are version-based.</t>
  </si>
  <si>
    <t>Large attack surface that multiplies the likelihood that at least one weakness is exploited.</t>
  </si>
  <si>
    <t>CIS 4.4, 12.2, 13.4</t>
  </si>
  <si>
    <t>[ftp-weak-credentials] [tcp] [high] 192.168.164.129:21 [password="toor",username="ftp"]</t>
  </si>
  <si>
    <t>PR.IR-01</t>
  </si>
  <si>
    <t>Assessment parameters (blue = input; black = formula)</t>
  </si>
  <si>
    <t>A.8.20; A.8.22</t>
  </si>
  <si>
    <t>Req. 1.3, 1.4</t>
  </si>
  <si>
    <t>apache-detect</t>
  </si>
  <si>
    <t>Assessment (scan) date</t>
  </si>
  <si>
    <t>Apply a default-deny host firewall and allow only required ports from named sources.</t>
  </si>
  <si>
    <t>Adopt a secure build baseline (CIS Benchmark) that disables unused services; record the asset in the inventory with an owner and purpose.</t>
  </si>
  <si>
    <t>["Apache/2.2.8 (Ubuntu) DAV/2"]</t>
  </si>
  <si>
    <t>Observed from a single same-segment scanner.</t>
  </si>
  <si>
    <t>Network/security engineer</t>
  </si>
  <si>
    <t>Register date (SLA start)</t>
  </si>
  <si>
    <t>Target host</t>
  </si>
  <si>
    <t>Scanner host</t>
  </si>
  <si>
    <t>192.168.164.128</t>
  </si>
  <si>
    <t>[apache-detect] [http] [info] http://192.168.164.129 ["Apache/2.2.8 (Ubuntu) DAV/2"]</t>
  </si>
  <si>
    <t>Likelihood scale</t>
  </si>
  <si>
    <t>apache-httpd-eol:version</t>
  </si>
  <si>
    <t>["2.2.8"]</t>
  </si>
  <si>
    <t>Label</t>
  </si>
  <si>
    <t>Rare</t>
  </si>
  <si>
    <t>NFS and RPC portmapper services exposed</t>
  </si>
  <si>
    <t>Not expected in the foreseeable period; strong barriers.</t>
  </si>
  <si>
    <t>NFS and RPC services allow remote mounting of exported file systems; exports with weak host restrictions can expose files.</t>
  </si>
  <si>
    <t>rpcbind; nfs 2-4; mountd; nlockmgr; status</t>
  </si>
  <si>
    <t>TCP/111, 2049, 54313, 54570, 54727 (UDP/111)</t>
  </si>
  <si>
    <t>Unlikely</t>
  </si>
  <si>
    <t>Nmap rpcinfo; Nuclei nfs-v3-exposed, rpc-udp-detect</t>
  </si>
  <si>
    <t>Could occur but would need unusual conditions or skill.</t>
  </si>
  <si>
    <t>Nmap rpcinfo lists nfs (100003) versions 2,3,4 on 2049, mountd (100005), nlockmgr (100021) and status (100024). Nuclei [nfs-v3-exposed] info on 2049; [rpc-udp-detect] on UDP/111.</t>
  </si>
  <si>
    <t>Observed; export list not enumerated</t>
  </si>
  <si>
    <t>Possible</t>
  </si>
  <si>
    <t>Could occur; exploitation depends on configuration or validation.</t>
  </si>
  <si>
    <t>Likely</t>
  </si>
  <si>
    <t>Likely; weakness is reachable and techniques are well known.</t>
  </si>
  <si>
    <t>[apache-httpd-eol:version] [http] [info] http://192.168.164.129 ["2.2.8"]</t>
  </si>
  <si>
    <t>Almost certain</t>
  </si>
  <si>
    <t>Almost certain; trivially reachable and confirmed or widely automated.</t>
  </si>
  <si>
    <t>php-eol:version</t>
  </si>
  <si>
    <t>Impact scale</t>
  </si>
  <si>
    <t>Insignificant</t>
  </si>
  <si>
    <t>Negligible effect.</t>
  </si>
  <si>
    <t>Minor</t>
  </si>
  <si>
    <t>Limited information disclosure or minor disruption.</t>
  </si>
  <si>
    <t>Moderate</t>
  </si>
  <si>
    <t>Moderate data exposure or service degradation.</t>
  </si>
  <si>
    <t>Major</t>
  </si>
  <si>
    <t>Major data compromise, serious disruption or privileged access.</t>
  </si>
  <si>
    <t>[php-eol:version] [http] [info] http://192.168.164.129 ["5.2.4"]</t>
  </si>
  <si>
    <t>Severe</t>
  </si>
  <si>
    <t>Full system compromise or loss of all confidentiality, integrity and availability.</t>
  </si>
  <si>
    <t>tech-detect:php</t>
  </si>
  <si>
    <t>Rating thresholds and remediation SLA</t>
  </si>
  <si>
    <t>Inherent risk rating</t>
  </si>
  <si>
    <t>Minimum score</t>
  </si>
  <si>
    <t>Meaning</t>
  </si>
  <si>
    <t>Immediate action; isolate and fix first</t>
  </si>
  <si>
    <t>Fix urgently; compensating controls meanwhile</t>
  </si>
  <si>
    <t>Plan and schedule remediation</t>
  </si>
  <si>
    <t>[tech-detect:php] [http] [info] http://192.168.164.129</t>
  </si>
  <si>
    <t>Fix in routine maintenance or accept</t>
  </si>
  <si>
    <t>http-missing-security-headers:content-security-policy</t>
  </si>
  <si>
    <t>Lab rating (H/M/L) mapping</t>
  </si>
  <si>
    <t>Missing header: content-security-policy</t>
  </si>
  <si>
    <t>Critical, High = H; Medium = M; Low = L</t>
  </si>
  <si>
    <t>Source of numbers</t>
  </si>
  <si>
    <t>Thresholds, SLAs and scales are analyst-defined for this lab (not from the lab brief) and can be edited in blue cells; every rating, priority and target date recalculates.</t>
  </si>
  <si>
    <t>[http-missing-security-headers:content-security-policy] [http] [info] http://192.168.164.129</t>
  </si>
  <si>
    <t>http-missing-security-headers:x-content-type-options</t>
  </si>
  <si>
    <t>Missing header: x-content-type-options</t>
  </si>
  <si>
    <t>[http-missing-security-headers:x-content-type-options] [http] [info] http://192.168.164.129</t>
  </si>
  <si>
    <t>Possible unauthorised file read/write if exports are open.</t>
  </si>
  <si>
    <t>http-missing-security-headers:x-permitted-cross-domain-policies</t>
  </si>
  <si>
    <t>Block RPC/NFS from untrusted hosts; review /etc/exports.</t>
  </si>
  <si>
    <t>Missing header: x-permitted-cross-domain-policies</t>
  </si>
  <si>
    <t>Disable NFS where unneeded; otherwise use NFSv4 with Kerberos and strict export lists.</t>
  </si>
  <si>
    <t>Run showmount -e in the lab to confirm exports before rating higher.</t>
  </si>
  <si>
    <t>[http-missing-security-headers:x-permitted-cross-domain-policies] [http] [info] http://192.168.164.129</t>
  </si>
  <si>
    <t>http-missing-security-headers:cross-origin-opener-policy</t>
  </si>
  <si>
    <t>Missing header: cross-origin-opener-policy</t>
  </si>
  <si>
    <t>R09 (part)</t>
  </si>
  <si>
    <t>phpMyAdmin administration interface exposed</t>
  </si>
  <si>
    <t>A database administration console is reachable from the web without network restriction, which gives attackers a convenient brute-force and exploitation target.</t>
  </si>
  <si>
    <t>phpMyAdmin (under /phpMyAdmin/)</t>
  </si>
  <si>
    <t>Nikto; Nuclei</t>
  </si>
  <si>
    <t>Nikto; Nuclei phpmyadmin-panel</t>
  </si>
  <si>
    <t>Nuclei [phpmyadmin-panel] info /phpMyAdmin/. Nikto: /phpMyAdmin/, /phpMyAdmin/changelog.php, /phpMyAdmin/ChangeLog, /phpMyAdmin/Documentation.html and /phpMyAdmin/README found; 'should be protected or limited to authorized hosts'.</t>
  </si>
  <si>
    <t>Observed (Nikto and Nuclei)</t>
  </si>
  <si>
    <t>[http-missing-security-headers:cross-origin-opener-policy] [http] [info] http://192.168.164.129</t>
  </si>
  <si>
    <t>http-missing-security-headers:permissions-policy</t>
  </si>
  <si>
    <t>Missing header: permissions-policy</t>
  </si>
  <si>
    <t>[http-missing-security-headers:permissions-policy] [http] [info] http://192.168.164.129</t>
  </si>
  <si>
    <t>http-missing-security-headers:x-frame-options</t>
  </si>
  <si>
    <t>Missing header: x-frame-options</t>
  </si>
  <si>
    <t>[http-missing-security-headers:x-frame-options] [http] [info] http://192.168.164.129</t>
  </si>
  <si>
    <t>http-missing-security-headers:referrer-policy</t>
  </si>
  <si>
    <t>Missing header: referrer-policy</t>
  </si>
  <si>
    <t>[http-missing-security-headers:referrer-policy] [http] [info] http://192.168.164.129</t>
  </si>
  <si>
    <t>http-missing-security-headers:cross-origin-embedder-policy</t>
  </si>
  <si>
    <t>Missing header: cross-origin-embedder-policy</t>
  </si>
  <si>
    <t>[http-missing-security-headers:cross-origin-embedder-policy] [http] [info] http://192.168.164.129</t>
  </si>
  <si>
    <t>http-missing-security-headers:cross-origin-resource-policy</t>
  </si>
  <si>
    <t>Missing header: cross-origin-resource-policy</t>
  </si>
  <si>
    <t>Database takeover if weak credentials or vulnerabilities exist.</t>
  </si>
  <si>
    <t>Restrict /phpMyAdmin/ to administrator IPs or remove it.</t>
  </si>
  <si>
    <t>Upgrade or remove; require MFA or VPN for administrative tools; remove changelog and documentation files.</t>
  </si>
  <si>
    <t>Login strength not tested.</t>
  </si>
  <si>
    <t>[http-missing-security-headers:cross-origin-resource-policy] [http] [info] http://192.168.164.129</t>
  </si>
  <si>
    <t>http-missing-security-headers:strict-transport-security</t>
  </si>
  <si>
    <t>Missing header: strict-transport-security</t>
  </si>
  <si>
    <t>[http-missing-security-headers:strict-transport-security] [http] [info] http://192.168.164.129</t>
  </si>
  <si>
    <t>phpinfo() test script exposed</t>
  </si>
  <si>
    <t>phpinfo() reveals PHP configuration, loaded modules, paths and environment variables.</t>
  </si>
  <si>
    <t>CWE-552; Nuclei phpinfo-files</t>
  </si>
  <si>
    <t>Nikto: '/phpinfo.php: Output from the phpinfo() function was found' (CWE-552). Nuclei [phpinfo-files] low.</t>
  </si>
  <si>
    <t>Reconnaissance data that makes targeted attacks easier.</t>
  </si>
  <si>
    <t>CIS 16.7, 4.1</t>
  </si>
  <si>
    <t>Req. 6.2.4</t>
  </si>
  <si>
    <t>A05:2021 Security Misconfiguration (CWE-200)</t>
  </si>
  <si>
    <t>Delete phpinfo.php.</t>
  </si>
  <si>
    <t>Add a release check that removes diagnostic scripts from deployed environments.</t>
  </si>
  <si>
    <t>Observed.</t>
  </si>
  <si>
    <t>Directory indexing and browsable documentation paths</t>
  </si>
  <si>
    <t>Directory listings expose file names, test content and installed documentation.</t>
  </si>
  <si>
    <t>/doc/, /test/, /icons/</t>
  </si>
  <si>
    <t>Nikto</t>
  </si>
  <si>
    <t>CVE-1999-0678 (/doc/); Nikto</t>
  </si>
  <si>
    <t>Nikto: '/doc/: Directory indexing found'; '/doc/: The /doc/ directory is browsable. This may be /usr/doc. See CVE-1999-0678'; '/test/: Directory indexing found'; '/icons/: Directory indexing found'; '/icons/README: Apache default file found'.</t>
  </si>
  <si>
    <t>Observed (Nikto)</t>
  </si>
  <si>
    <t>Information disclosure and discovery of further attack targets.</t>
  </si>
  <si>
    <t>CIS 16.7</t>
  </si>
  <si>
    <t>A.8.9; A.8.26</t>
  </si>
  <si>
    <t>Disable Options Indexes; remove /test/ and default content.</t>
  </si>
  <si>
    <t>Use a hardened Apache configuration template (CIS Apache Benchmark).</t>
  </si>
  <si>
    <t>Possible credential file '#wp-config.php#' reported</t>
  </si>
  <si>
    <t>Nikto reports an editor backup of a WordPress configuration file that, if real, would contain database credentials. The text is a generic Nikto message and the file may not exist.</t>
  </si>
  <si>
    <t>Nikto finding</t>
  </si>
  <si>
    <t>Nikto: '/#wp-config.php#: #wp-config.php# file found. This file contains the credentials.'</t>
  </si>
  <si>
    <t>Unverified scanner finding - confirm manually</t>
  </si>
  <si>
    <t>If confirmed: disclosure of database credentials and takeover of the application's data.</t>
  </si>
  <si>
    <t>Request the URL manually; if present, remove and rotate the credentials it contains.</t>
  </si>
  <si>
    <t>Block access to backup and temporary files; scan builds for secrets.</t>
  </si>
  <si>
    <t>Likely lower confidence; raise to High only after confirmation.</t>
  </si>
  <si>
    <t>Legacy OpenSSH 4.7p1 with 1024-bit DSA host key</t>
  </si>
  <si>
    <t>The SSH server is a very old release and offers a 1024-bit DSA host key, which no longer meets minimum key-strength guidance.</t>
  </si>
  <si>
    <t>TCP/22</t>
  </si>
  <si>
    <t>Nmap ssh-hostkey; Nuclei openssh-detect</t>
  </si>
  <si>
    <t>Nmap ssh-hostkey: 1024-bit DSA (60:0f:cf:e1:c0:5f:6a:74:d6:90:24:fa:c4:d5:6c:cd) and 2048-bit RSA (56:56:24:0f:21:1d:de:a7:2b:ae:61:b1:24:3d:e8:f3). Nuclei [openssh-detect] 'SSH-2.0-OpenSSH_4.7p1 Debian-8ubuntu1'.</t>
  </si>
  <si>
    <t>Weak cryptographic assurance and exposure to known OpenSSH flaws.</t>
  </si>
  <si>
    <t>Restrict SSH to management hosts.</t>
  </si>
  <si>
    <t>Upgrade OpenSSH; regenerate host keys (Ed25519 or RSA 3072+); disable password logins where possible.</t>
  </si>
  <si>
    <t>Confirm package patch level.</t>
  </si>
  <si>
    <t>Legacy ISC BIND 9.4.2 DNS service</t>
  </si>
  <si>
    <t>BIND 9.4.2 is obsolete and discloses its version. A development server rarely needs to run an authoritative or recursive DNS service.</t>
  </si>
  <si>
    <t>TCP/53</t>
  </si>
  <si>
    <t>Nmap dns-nsid</t>
  </si>
  <si>
    <t>Nmap: '53/tcp open domain ISC BIND 9.4.2'; dns-nsid bind.version: 9.4.2.</t>
  </si>
  <si>
    <t>Exposure to DNS software flaws and possible abuse as a resolver.</t>
  </si>
  <si>
    <t>Disable named if not required, or limit queries to approved clients.</t>
  </si>
  <si>
    <t>Upgrade to a supported BIND release; hide version; restrict recursion and zone transfers.</t>
  </si>
  <si>
    <t>Recursion and zone-transfer settings not tested.</t>
  </si>
  <si>
    <t>Legacy ProFTPD 1.3.1 on alternate FTP port</t>
  </si>
  <si>
    <t>A second, outdated FTP server runs on a non-standard port, doubling the FTP exposure and escaping simple port-based controls.</t>
  </si>
  <si>
    <t>TCP/2121</t>
  </si>
  <si>
    <t>Nmap -sV</t>
  </si>
  <si>
    <t>Nmap: '2121/tcp open ftp ProFTPD 1.3.1'.</t>
  </si>
  <si>
    <t>Cleartext file transfer and exposure to ProFTPD vulnerabilities.</t>
  </si>
  <si>
    <t>Stop the service or restrict by host firewall.</t>
  </si>
  <si>
    <t>Remove or replace with SFTP.</t>
  </si>
  <si>
    <t>Authentication not tested.</t>
  </si>
  <si>
    <t>Java RMI registry services exposed</t>
  </si>
  <si>
    <t>Exposed RMI registries can allow enumeration and, depending on class loading settings, remote code execution.</t>
  </si>
  <si>
    <t>TCP/1099, 59365</t>
  </si>
  <si>
    <t>Nmap: 1099/tcp and 59365/tcp java-rmi GNU Classpath grmiregistry.</t>
  </si>
  <si>
    <t>Potential remote code execution or information disclosure.</t>
  </si>
  <si>
    <t>Block TCP/1099 and 59365 from untrusted hosts.</t>
  </si>
  <si>
    <t>Disable unneeded RMI services; configure serialization filters and authentication.</t>
  </si>
  <si>
    <t>Class-loading configuration not reviewed.</t>
  </si>
  <si>
    <t>Additional vsftpd CVEs flagged by version match</t>
  </si>
  <si>
    <t>CVE-2015-1419 (deny_file parsing, vsftpd 3.0.2 and earlier) plausibly applies to 2.3.4. NVD lists CVE-2021-30047 (connection-limit denial of service) only for vsftpd 3.0.3, so that match is probably a false positive.</t>
  </si>
  <si>
    <t>CVE-2015-1419; CVE-2021-30047</t>
  </si>
  <si>
    <t>CVE-2015-1419: 5.0 Medium; CVE-2021-30047: 7.5 High (as listed)</t>
  </si>
  <si>
    <t>Medium; High</t>
  </si>
  <si>
    <t>Nuclei [CVE-2015-1419:version] [tcp] [medium] and [CVE-2021-30047:version] [tcp] [high] on 192.168.164.129:21 ['2.3.4'].</t>
  </si>
  <si>
    <t>Version-based; low confidence - validate</t>
  </si>
  <si>
    <t>Access-restriction bypass or denial of service of the FTP service.</t>
  </si>
  <si>
    <t>Covered by removing vsftpd (see R01).</t>
  </si>
  <si>
    <t>Upgrade to a supported release.</t>
  </si>
  <si>
    <t>CVE-2021-30047 probable false positive; keep as a documented scanner discrepancy.</t>
  </si>
  <si>
    <t>R31</t>
  </si>
  <si>
    <t>Expired TLS certificates on SMTP and PostgreSQL</t>
  </si>
  <si>
    <t>The certificates expired in April 2010, more than sixteen years before the scan, so clients cannot rely on them for identity or trust.</t>
  </si>
  <si>
    <t>Certificate CN=ubuntu804-base.localdomain</t>
  </si>
  <si>
    <t>TCP/25, 5432</t>
  </si>
  <si>
    <t>Nmap ssl-cert; ssl-date</t>
  </si>
  <si>
    <t>Nmap ssl-cert: Subject commonName=ubuntu804-base.localdomain, organizationName=OCOSA; Not valid before 2010-03-17T14:07:45; Not valid after 2010-04-16T14:07:45. Scan date 2026-10-22.</t>
  </si>
  <si>
    <t>Trust failure, certificate warnings that train users to ignore errors, and weakened transport security.</t>
  </si>
  <si>
    <t>Note for remediation; no immediate action beyond isolation.</t>
  </si>
  <si>
    <t>Issue certificates from an approved CA with managed renewal and inventory.</t>
  </si>
  <si>
    <t>Messaging / database administrator</t>
  </si>
  <si>
    <t>SMTP user enumeration commands enabled (VRFY, ETRN)</t>
  </si>
  <si>
    <t>VRFY allows an attacker to test whether local accounts exist; ETRN can trigger queue processing.</t>
  </si>
  <si>
    <t>Nmap smtp-commands; Nuclei smtp-commands-enum</t>
  </si>
  <si>
    <t>Nuclei [smtp-commands-enum:ehlo] ['DSN','PIPELINING','SIZE 10240000','VRFY','ETRN','STARTTLS','ENHANCEDSTATUSCODES','8BITMIME']. Nmap smtp-commands lists the same.</t>
  </si>
  <si>
    <t>Account discovery that supports password-guessing and phishing.</t>
  </si>
  <si>
    <t>Set disable_vrfy_command = yes and restrict ETRN.</t>
  </si>
  <si>
    <t>Harden mail configuration to a baseline.</t>
  </si>
  <si>
    <t>HTTP TRACE method enabled</t>
  </si>
  <si>
    <t>TRACE echoes requests back, which historically helped attackers steal cookie data through cross-site tracing.</t>
  </si>
  <si>
    <t>Apache httpd 2.2.8</t>
  </si>
  <si>
    <t>Cross-Site Tracing (OWASP); Nuclei http-trace</t>
  </si>
  <si>
    <t>Nikto: 'HTTP TRACE method is active which suggests the host is vulnerable to XST.' Nuclei [http-trace:trace-request] info.</t>
  </si>
  <si>
    <t>Low on its own; adds to client-side attack options.</t>
  </si>
  <si>
    <t>Add TraceEnable off.</t>
  </si>
  <si>
    <t>Include in the web server baseline.</t>
  </si>
  <si>
    <t>Modern browsers block XST; severity kept Low.</t>
  </si>
  <si>
    <t>Missing HTTP security response headers</t>
  </si>
  <si>
    <t>Without these headers browsers apply fewer protections against clickjacking, MIME sniffing and cross-origin leaks. HSTS is moot while the site is HTTP only.</t>
  </si>
  <si>
    <t>OWASP Secure Headers; Nuclei http-missing-security-headers</t>
  </si>
  <si>
    <t>Info (x10)</t>
  </si>
  <si>
    <t>Nikto: X-Frame-Options and X-Content-Type-Options not set. Nuclei lists ten missing headers: content-security-policy, x-content-type-options, x-permitted-cross-domain-policies, cross-origin-opener-policy, permissions-policy, x-frame-options, referrer-policy, cross-origin-embedder-policy, cross-origin-resource-policy, strict-transport-security.</t>
  </si>
  <si>
    <t>Increased exposure of users to client-side attacks.</t>
  </si>
  <si>
    <t>Add headers in Apache configuration for the pages that remain in use.</t>
  </si>
  <si>
    <t>Serve over HTTPS with HSTS and a reviewed CSP.</t>
  </si>
  <si>
    <t>Information leakage through headers, ETag and error behaviour</t>
  </si>
  <si>
    <t>Verbose headers and default behaviours reveal exact software versions and file system details that help an attacker choose exploits.</t>
  </si>
  <si>
    <t>CVE-2003-1418; OSVDB-12184; Nuclei apache-mod-negotiation-listing</t>
  </si>
  <si>
    <t>Nikto: X-Powered-By PHP/5.2.4-2ubuntu5.10; ETag inode leak on /phpMyAdmin/ChangeLog (inode 92462, size 40540, CVE-2003-1418); 'tcn' header and MultiViews on /index; PHP query-string information disclosure (OSVDB-12184) x4; junk HTTP method KOVKERUA accepted. Nuclei [apache-mod-negotiation-listing] low; [php-detect] 5.2.4; [waf-detect:apachegeneric]; [tech-detect:php].</t>
  </si>
  <si>
    <t>Reconnaissance value only; supports other attacks.</t>
  </si>
  <si>
    <t>Set ServerTokens Prod, ExposePHP off, FileETag MTime Size; disable MultiViews.</t>
  </si>
  <si>
    <t>Harden to a baseline and re-scan.</t>
  </si>
  <si>
    <t>The junk-method response may be a false positive per Nikto.</t>
  </si>
  <si>
    <t>R36</t>
  </si>
  <si>
    <t>Large clock skew relative to scanner</t>
  </si>
  <si>
    <t>The target clock differs from the scanner by about one hour on average, which can reflect a time-zone setting rather than drift. Consistent time is needed for log correlation and Kerberos.</t>
  </si>
  <si>
    <t>System time</t>
  </si>
  <si>
    <t>Nmap clock-skew</t>
  </si>
  <si>
    <t>Nmap clock-skew: mean 1h00m05s, deviation 2h00m00s, median 4s.</t>
  </si>
  <si>
    <t>Unreliable log timelines for investigations.</t>
  </si>
  <si>
    <t>CIS 8.4</t>
  </si>
  <si>
    <t>PR.PS-04</t>
  </si>
  <si>
    <t>A.8.17</t>
  </si>
  <si>
    <t>Req. 10.6</t>
  </si>
  <si>
    <t>None beyond note.</t>
  </si>
  <si>
    <t>Configure NTP and a standard time zone.</t>
  </si>
  <si>
    <t>Likely a VM time-zone or configuration effect.</t>
  </si>
  <si>
    <t>X11 service listening</t>
  </si>
  <si>
    <t>An X11 server accepts network connections. Access was denied, which limits current risk, but the listener should not be reachable.</t>
  </si>
  <si>
    <t>TCP/6000</t>
  </si>
  <si>
    <t>Nmap: '6000/tcp open X11 (access denied)'.</t>
  </si>
  <si>
    <t>Observed; access denied at time of scan</t>
  </si>
  <si>
    <t>Potential screen/keystroke exposure if access control is relaxed.</t>
  </si>
  <si>
    <t>Disable remote X11 (-nolisten tcp).</t>
  </si>
  <si>
    <t>Use SSH X11 forwarding only where needed.</t>
  </si>
  <si>
    <t>Access control is working at the time of scan.</t>
  </si>
  <si>
    <t>NetBIOS and RPC information disclosure</t>
  </si>
  <si>
    <t>Name services disclose host name, domain and OS details that assist reconnaissance.</t>
  </si>
  <si>
    <t>NetBIOS name service; RPC portmapper</t>
  </si>
  <si>
    <t>UDP/137, UDP/111</t>
  </si>
  <si>
    <t>Nuclei netbios-udp-detect, rpc-udp-detect; Nmap nbstat, smb-os-discovery</t>
  </si>
  <si>
    <t>Nuclei [netbios-udp-detect] on UDP/137; [rpc-udp-detect] on UDP/111. Nmap nbstat: NetBIOS name METASPLOITABLE; smb-os-discovery: OS Unix (Samba 3.0.20-Debian), computer name metasploitable, domain localdomain, FQDN metasploitable.localdomain.</t>
  </si>
  <si>
    <t>Reconnaissance support.</t>
  </si>
  <si>
    <t>Block UDP/137 and 111 from untrusted hosts.</t>
  </si>
  <si>
    <t>Disable NetBIOS over TCP/IP where not needed.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</si>
</sst>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dd\ mmm\ yyyy"/>
    <numFmt numFmtId="166" formatCode="0.0%"/>
  </numFmts>
  <fonts count="12">
    <font>
      <sz val="11.0"/>
      <color theme="1"/>
      <name val="Calibri"/>
      <scheme val="minor"/>
    </font>
    <font>
      <b/>
      <sz val="16.0"/>
      <color rgb="FF463470"/>
      <name val="Calibri"/>
    </font>
    <font>
      <b/>
      <sz val="10.0"/>
      <color rgb="FFFFFFFF"/>
      <name val="Calibri"/>
    </font>
    <font>
      <i/>
      <sz val="10.0"/>
      <color rgb="FF595959"/>
      <name val="Calibri"/>
    </font>
    <font>
      <b/>
      <sz val="10.0"/>
      <color theme="1"/>
      <name val="Calibri"/>
    </font>
    <font>
      <sz val="10.0"/>
      <color theme="1"/>
      <name val="Calibri"/>
    </font>
    <font>
      <sz val="10.0"/>
      <color rgb="FF0000FF"/>
      <name val="Calibri"/>
    </font>
    <font>
      <b/>
      <sz val="14.0"/>
      <color rgb="FFFFFFFF"/>
      <name val="Calibri"/>
    </font>
    <font>
      <b/>
      <sz val="14.0"/>
      <color rgb="FF000000"/>
      <name val="Calibri"/>
    </font>
    <font>
      <b/>
      <sz val="11.0"/>
      <color rgb="FF463470"/>
      <name val="Calibri"/>
    </font>
    <font>
      <b/>
      <sz val="10.0"/>
      <color rgb="FF000000"/>
      <name val="Calibri"/>
    </font>
    <font/>
  </fonts>
  <fills count="8">
    <fill>
      <patternFill patternType="none"/>
    </fill>
    <fill>
      <patternFill patternType="lightGray"/>
    </fill>
    <fill>
      <patternFill patternType="solid">
        <fgColor rgb="FF463470"/>
        <bgColor rgb="FF463470"/>
      </patternFill>
    </fill>
    <fill>
      <patternFill patternType="solid">
        <fgColor rgb="FFF3EFF8"/>
        <bgColor rgb="FFF3EFF8"/>
      </patternFill>
    </fill>
    <fill>
      <patternFill patternType="solid">
        <fgColor rgb="FF2E7D32"/>
        <bgColor rgb="FF2E7D32"/>
      </patternFill>
    </fill>
    <fill>
      <patternFill patternType="solid">
        <fgColor rgb="FFF9A825"/>
        <bgColor rgb="FFF9A825"/>
      </patternFill>
    </fill>
    <fill>
      <patternFill patternType="solid">
        <fgColor rgb="FFE65100"/>
        <bgColor rgb="FFE65100"/>
      </patternFill>
    </fill>
    <fill>
      <patternFill patternType="solid">
        <fgColor rgb="FFB71C1C"/>
        <bgColor rgb="FFB71C1C"/>
      </patternFill>
    </fill>
  </fills>
  <borders count="5">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center" wrapText="1"/>
    </xf>
    <xf borderId="0" fillId="0" fontId="3" numFmtId="0" xfId="0" applyAlignment="1" applyFont="1">
      <alignment shrinkToFit="0" vertical="bottom" wrapText="0"/>
    </xf>
    <xf borderId="0" fillId="0" fontId="4" numFmtId="0" xfId="0" applyAlignment="1" applyFont="1">
      <alignment horizontal="center" shrinkToFit="0" vertical="center" wrapText="1"/>
    </xf>
    <xf borderId="1" fillId="0" fontId="4" numFmtId="0" xfId="0" applyAlignment="1" applyBorder="1" applyFont="1">
      <alignment shrinkToFit="0" vertical="top" wrapText="1"/>
    </xf>
    <xf borderId="1" fillId="0" fontId="5" numFmtId="0" xfId="0" applyAlignment="1" applyBorder="1" applyFont="1">
      <alignment shrinkToFit="0" vertical="top" wrapText="1"/>
    </xf>
    <xf borderId="1" fillId="0" fontId="4"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 fillId="3" fontId="4" numFmtId="0" xfId="0" applyAlignment="1" applyBorder="1" applyFill="1" applyFont="1">
      <alignment horizontal="center" shrinkToFit="0" vertical="center" wrapText="1"/>
    </xf>
    <xf borderId="1" fillId="3" fontId="4" numFmtId="0" xfId="0" applyAlignment="1" applyBorder="1" applyFill="1" applyFont="1">
      <alignment shrinkToFit="0" vertical="top" wrapText="1"/>
    </xf>
    <xf borderId="1" fillId="3" fontId="5" numFmtId="0" xfId="0" applyAlignment="1" applyBorder="1" applyFill="1" applyFont="1">
      <alignment horizontal="center" shrinkToFit="0" vertical="center" wrapText="1"/>
    </xf>
    <xf borderId="1" fillId="3" fontId="5" numFmtId="0" xfId="0" applyAlignment="1" applyBorder="1" applyFill="1" applyFont="1">
      <alignment shrinkToFit="0" vertical="top" wrapText="1"/>
    </xf>
    <xf borderId="1" fillId="4" fontId="7" numFmtId="164" xfId="0" applyAlignment="1" applyBorder="1" applyFill="1" applyFont="1" applyNumberFormat="1">
      <alignment horizontal="center" shrinkToFit="0" vertical="center" wrapText="1"/>
    </xf>
    <xf borderId="1" fillId="5" fontId="8" numFmtId="164" xfId="0" applyAlignment="1" applyBorder="1" applyFill="1" applyFont="1" applyNumberFormat="1">
      <alignment horizontal="center" shrinkToFit="0" vertical="center" wrapText="1"/>
    </xf>
    <xf borderId="1" fillId="6" fontId="7" numFmtId="164" xfId="0" applyAlignment="1" applyBorder="1" applyFill="1" applyFont="1" applyNumberFormat="1">
      <alignment horizontal="center" shrinkToFit="0" vertical="center" wrapText="1"/>
    </xf>
    <xf borderId="1" fillId="7" fontId="7" numFmtId="164" xfId="0" applyAlignment="1" applyBorder="1" applyFill="1" applyFont="1" applyNumberFormat="1">
      <alignment horizontal="center" shrinkToFit="0" vertical="center" wrapText="1"/>
    </xf>
    <xf borderId="1" fillId="0" fontId="5" numFmtId="165" xfId="0" applyAlignment="1" applyBorder="1" applyFont="1" applyNumberFormat="1">
      <alignment horizontal="center" shrinkToFit="0" vertical="center" wrapText="1"/>
    </xf>
    <xf borderId="1" fillId="3" fontId="6" numFmtId="0" xfId="0" applyAlignment="1" applyBorder="1" applyFill="1" applyFont="1">
      <alignment horizontal="center" shrinkToFit="0" vertical="center" wrapText="1"/>
    </xf>
    <xf borderId="1" fillId="3" fontId="5" numFmtId="165" xfId="0" applyAlignment="1" applyBorder="1" applyFill="1" applyFont="1" applyNumberFormat="1">
      <alignment horizontal="center" shrinkToFit="0" vertical="center" wrapText="1"/>
    </xf>
    <xf borderId="0" fillId="0" fontId="9" numFmtId="0" xfId="0" applyAlignment="1" applyFont="1">
      <alignment shrinkToFit="0" vertical="bottom" wrapText="0"/>
    </xf>
    <xf borderId="1" fillId="0" fontId="5" numFmtId="166" xfId="0" applyAlignment="1" applyBorder="1" applyFont="1" applyNumberFormat="1">
      <alignment horizontal="center" shrinkToFit="0" vertical="center" wrapText="1"/>
    </xf>
    <xf borderId="0" fillId="0" fontId="4" numFmtId="0" xfId="0" applyAlignment="1" applyFont="1">
      <alignment shrinkToFit="0" vertical="bottom" wrapText="0"/>
    </xf>
    <xf borderId="1" fillId="7" fontId="2" numFmtId="0" xfId="0" applyAlignment="1" applyBorder="1" applyFill="1" applyFont="1">
      <alignment horizontal="center" shrinkToFit="0" vertical="center" wrapText="1"/>
    </xf>
    <xf borderId="1" fillId="6" fontId="2" numFmtId="0" xfId="0" applyAlignment="1" applyBorder="1" applyFill="1" applyFont="1">
      <alignment horizontal="center" shrinkToFit="0" vertical="center" wrapText="1"/>
    </xf>
    <xf borderId="1" fillId="5" fontId="10"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1" fillId="0" fontId="3" numFmtId="0" xfId="0" applyAlignment="1" applyBorder="1" applyFont="1">
      <alignment shrinkToFit="0" vertical="top" wrapText="1"/>
    </xf>
    <xf borderId="1" fillId="0" fontId="3" numFmtId="164" xfId="0" applyAlignment="1" applyBorder="1" applyFont="1" applyNumberFormat="1">
      <alignment horizontal="center" shrinkToFit="0" vertical="center" wrapText="1"/>
    </xf>
    <xf borderId="1" fillId="0" fontId="4" numFmtId="166" xfId="0" applyAlignment="1" applyBorder="1" applyFont="1" applyNumberFormat="1">
      <alignment horizontal="center" shrinkToFit="0" vertical="center" wrapText="1"/>
    </xf>
    <xf borderId="1" fillId="0" fontId="3" numFmtId="0" xfId="0" applyAlignment="1" applyBorder="1" applyFont="1">
      <alignment horizontal="center" shrinkToFit="0" vertical="center" wrapText="1"/>
    </xf>
    <xf borderId="1" fillId="0" fontId="6" numFmtId="3" xfId="0" applyAlignment="1" applyBorder="1" applyFont="1" applyNumberFormat="1">
      <alignment horizontal="center" shrinkToFit="0" vertical="center" wrapText="1"/>
    </xf>
    <xf borderId="1" fillId="0" fontId="5" numFmtId="3" xfId="0" applyAlignment="1" applyBorder="1" applyFont="1" applyNumberFormat="1">
      <alignment horizontal="center" shrinkToFit="0" vertical="center" wrapText="1"/>
    </xf>
    <xf borderId="2" fillId="0" fontId="5" numFmtId="0" xfId="0" applyAlignment="1" applyBorder="1" applyFont="1">
      <alignment shrinkToFit="0" vertical="top" wrapText="1"/>
    </xf>
    <xf borderId="3" fillId="0" fontId="11" numFmtId="0" xfId="0" applyBorder="1" applyFont="1"/>
    <xf borderId="4" fillId="0" fontId="11" numFmtId="0" xfId="0" applyBorder="1" applyFont="1"/>
    <xf borderId="2" fillId="2" fontId="2" numFmtId="0" xfId="0" applyAlignment="1" applyBorder="1" applyFill="1" applyFont="1">
      <alignment horizontal="center" shrinkToFit="0" vertical="center" wrapText="1"/>
    </xf>
    <xf borderId="1" fillId="0" fontId="6" numFmtId="165" xfId="0" applyAlignment="1" applyBorder="1" applyFont="1" applyNumberFormat="1">
      <alignment shrinkToFit="0" vertical="top" wrapText="1"/>
    </xf>
    <xf borderId="1" fillId="0" fontId="6" numFmtId="0" xfId="0" applyAlignment="1" applyBorder="1" applyFont="1">
      <alignment shrinkToFit="0" vertical="top" wrapText="1"/>
    </xf>
  </cellXfs>
  <cellStyles count="1">
    <cellStyle xfId="0" name="Normal" builtinId="0"/>
  </cellStyles>
  <dxfs count="6">
    <dxf>
      <font>
        <b/>
        <sz val="10.0"/>
        <color rgb="FFFFFFFF"/>
        <name val="Calibri"/>
      </font>
      <fill>
        <patternFill patternType="solid">
          <fgColor rgb="FFB71C1C"/>
          <bgColor rgb="FFB71C1C"/>
        </patternFill>
      </fill>
      <border/>
    </dxf>
    <dxf>
      <font>
        <b/>
        <sz val="10.0"/>
        <color rgb="FFFFFFFF"/>
        <name val="Calibri"/>
      </font>
      <fill>
        <patternFill patternType="solid">
          <fgColor rgb="FFE65100"/>
          <bgColor rgb="FFE65100"/>
        </patternFill>
      </fill>
      <border/>
    </dxf>
    <dxf>
      <font>
        <b/>
        <sz val="10.0"/>
        <color rgb="FF000000"/>
        <name val="Calibri"/>
      </font>
      <fill>
        <patternFill patternType="solid">
          <fgColor rgb="FFF9A825"/>
          <bgColor rgb="FFF9A825"/>
        </patternFill>
      </fill>
      <border/>
    </dxf>
    <dxf>
      <font>
        <b/>
        <sz val="10.0"/>
        <color rgb="FFFFFFFF"/>
        <name val="Calibri"/>
      </font>
      <fill>
        <patternFill patternType="solid">
          <fgColor rgb="FF2E7D32"/>
          <bgColor rgb="FF2E7D32"/>
        </patternFill>
      </fill>
      <border/>
    </dxf>
    <dxf>
      <font>
        <b/>
        <sz val="10.0"/>
        <color rgb="FF000000"/>
        <name val="Calibri"/>
      </font>
      <fill>
        <patternFill patternType="solid">
          <fgColor rgb="FF90A4AE"/>
          <bgColor rgb="FF90A4AE"/>
        </patternFill>
      </fill>
      <border/>
    </dxf>
    <dxf>
      <font>
        <b/>
        <sz val="10.0"/>
        <color rgb="FFB71C1C"/>
        <name val="Calibri"/>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Findings by inherent risk</a:t>
            </a:r>
          </a:p>
        </c:rich>
      </c:tx>
      <c:overlay val="0"/>
    </c:title>
    <c:plotArea>
      <c:layout/>
      <c:barChart>
        <c:barDir val="col"/>
        <c:varyColors val="0"/>
        <c:ser>
          <c:idx val="0"/>
          <c:order val="0"/>
          <c:tx>
            <c:v>Findings</c:v>
          </c:tx>
          <c:spPr>
            <a:solidFill>
              <a:srgbClr val="4F81BD"/>
            </a:solidFill>
            <a:ln cmpd="sng">
              <a:noFill/>
            </a:ln>
          </c:spPr>
          <c:invertIfNegative val="0"/>
          <c:dPt>
            <c:idx val="0"/>
            <c:spPr>
              <a:solidFill>
                <a:srgbClr val="B71C1C"/>
              </a:solidFill>
              <a:ln cmpd="sng">
                <a:noFill/>
              </a:ln>
            </c:spPr>
          </c:dPt>
          <c:dPt>
            <c:idx val="1"/>
            <c:spPr>
              <a:solidFill>
                <a:srgbClr val="E65100"/>
              </a:solidFill>
              <a:ln cmpd="sng">
                <a:noFill/>
              </a:ln>
            </c:spPr>
          </c:dPt>
          <c:dPt>
            <c:idx val="2"/>
            <c:spPr>
              <a:solidFill>
                <a:srgbClr val="F9A825"/>
              </a:solidFill>
              <a:ln cmpd="sng">
                <a:noFill/>
              </a:ln>
            </c:spPr>
          </c:dPt>
          <c:dPt>
            <c:idx val="3"/>
            <c:spPr>
              <a:solidFill>
                <a:srgbClr val="2E7D32"/>
              </a:solidFill>
              <a:ln cmpd="sng">
                <a:noFill/>
              </a:ln>
            </c:spPr>
          </c:dPt>
          <c:dLbls>
            <c:dLbl>
              <c:idx val="0"/>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
            <c:dLbl>
              <c:idx val="1"/>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
            <c:dLbl>
              <c:idx val="2"/>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
            <c:dLbl>
              <c:idx val="3"/>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Summary!$A$6:$A$9</c:f>
            </c:strRef>
          </c:cat>
          <c:val>
            <c:numRef>
              <c:f>Summary!$B$6:$B$9</c:f>
              <c:numCache/>
            </c:numRef>
          </c:val>
        </c:ser>
        <c:axId val="639293990"/>
        <c:axId val="1515236679"/>
      </c:barChart>
      <c:catAx>
        <c:axId val="639293990"/>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Inherent risk</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515236679"/>
      </c:catAx>
      <c:valAx>
        <c:axId val="1515236679"/>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Findings</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639293990"/>
      </c:valAx>
    </c:plotArea>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2</xdr:row>
      <xdr:rowOff>123825</xdr:rowOff>
    </xdr:from>
    <xdr:ext cx="4105275" cy="2828925"/>
    <xdr:graphicFrame>
      <xdr:nvGraphicFramePr>
        <xdr:cNvPr id="609368297"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1C1C"/>
    <pageSetUpPr fitToPage="1"/>
  </sheetPr>
  <sheetViews>
    <sheetView showGridLines="0" workbookViewId="0"/>
  </sheetViews>
  <sheetFormatPr customHeight="1" defaultColWidth="14.43" defaultRowHeight="15.0"/>
  <cols>
    <col customWidth="1" min="1" max="1" width="30.0"/>
    <col customWidth="1" min="2" max="3" width="12.0"/>
    <col customWidth="1" min="4" max="4" width="16.0"/>
    <col customWidth="1" min="5" max="5" width="4.0"/>
    <col customWidth="1" min="6" max="6" width="28.0"/>
    <col customWidth="1" min="7" max="8" width="12.0"/>
    <col customWidth="1" min="9" max="26" width="8.71"/>
  </cols>
  <sheetData>
    <row r="1">
      <c r="A1" s="1" t="s">
        <v>112</v>
      </c>
    </row>
    <row r="2">
      <c r="A2" s="3" t="s">
        <v>113</v>
      </c>
    </row>
    <row r="4">
      <c r="A4" s="21" t="s">
        <v>114</v>
      </c>
      <c r="F4" s="21" t="s">
        <v>115</v>
      </c>
    </row>
    <row r="5">
      <c r="A5" s="2" t="s">
        <v>23</v>
      </c>
      <c r="B5" s="2" t="s">
        <v>116</v>
      </c>
      <c r="C5" s="2" t="s">
        <v>117</v>
      </c>
      <c r="D5" s="2" t="s">
        <v>24</v>
      </c>
      <c r="F5" s="2" t="s">
        <v>118</v>
      </c>
      <c r="G5" s="2" t="s">
        <v>119</v>
      </c>
      <c r="H5" s="2" t="s">
        <v>117</v>
      </c>
    </row>
    <row r="6">
      <c r="A6" s="7" t="str">
        <f>'Scoring &amp; Notes'!A34</f>
        <v>Critical</v>
      </c>
      <c r="B6" s="8">
        <f>COUNTIF('Risk Register'!$R$2:$R$39,A6)</f>
        <v>6</v>
      </c>
      <c r="C6" s="22">
        <f t="shared" ref="C6:C9" si="1">IF($B$10=0,0,B6/$B$10)</f>
        <v>0.1578947368</v>
      </c>
      <c r="D6" s="8" t="s">
        <v>125</v>
      </c>
      <c r="F6" s="7" t="s">
        <v>48</v>
      </c>
      <c r="G6" s="8">
        <f>COUNTIF('Nuclei Results'!$D$5:$D$200,F6)</f>
        <v>4</v>
      </c>
      <c r="H6" s="22">
        <f t="shared" ref="H6:H10" si="2">IF($G$11=0,0,G6/$G$11)</f>
        <v>0.06779661017</v>
      </c>
    </row>
    <row r="7">
      <c r="A7" s="7" t="str">
        <f>'Scoring &amp; Notes'!A35</f>
        <v>High</v>
      </c>
      <c r="B7" s="8">
        <f>COUNTIF('Risk Register'!$R$2:$R$39,A7)</f>
        <v>14</v>
      </c>
      <c r="C7" s="22">
        <f t="shared" si="1"/>
        <v>0.3684210526</v>
      </c>
      <c r="D7" s="8" t="s">
        <v>125</v>
      </c>
      <c r="F7" s="7" t="s">
        <v>134</v>
      </c>
      <c r="G7" s="8">
        <f>COUNTIF('Nuclei Results'!$D$5:$D$200,F7)</f>
        <v>18</v>
      </c>
      <c r="H7" s="22">
        <f t="shared" si="2"/>
        <v>0.3050847458</v>
      </c>
    </row>
    <row r="8">
      <c r="A8" s="7" t="str">
        <f>'Scoring &amp; Notes'!A36</f>
        <v>Medium</v>
      </c>
      <c r="B8" s="8">
        <f>COUNTIF('Risk Register'!$R$2:$R$39,A8)</f>
        <v>10</v>
      </c>
      <c r="C8" s="22">
        <f t="shared" si="1"/>
        <v>0.2631578947</v>
      </c>
      <c r="D8" s="8" t="s">
        <v>141</v>
      </c>
      <c r="F8" s="7" t="s">
        <v>137</v>
      </c>
      <c r="G8" s="8">
        <f>COUNTIF('Nuclei Results'!$D$5:$D$200,F8)</f>
        <v>2</v>
      </c>
      <c r="H8" s="22">
        <f t="shared" si="2"/>
        <v>0.03389830508</v>
      </c>
    </row>
    <row r="9">
      <c r="A9" s="7" t="str">
        <f>'Scoring &amp; Notes'!A37</f>
        <v>Low</v>
      </c>
      <c r="B9" s="8">
        <f>COUNTIF('Risk Register'!$R$2:$R$39,A9)</f>
        <v>8</v>
      </c>
      <c r="C9" s="22">
        <f t="shared" si="1"/>
        <v>0.2105263158</v>
      </c>
      <c r="D9" s="8" t="s">
        <v>146</v>
      </c>
      <c r="F9" s="7" t="s">
        <v>138</v>
      </c>
      <c r="G9" s="8">
        <f>COUNTIF('Nuclei Results'!$D$5:$D$200,F9)</f>
        <v>2</v>
      </c>
      <c r="H9" s="22">
        <f t="shared" si="2"/>
        <v>0.03389830508</v>
      </c>
    </row>
    <row r="10">
      <c r="A10" s="5" t="s">
        <v>155</v>
      </c>
      <c r="B10" s="7">
        <f t="shared" ref="B10:C10" si="3">SUM(B6:B9)</f>
        <v>38</v>
      </c>
      <c r="C10" s="30">
        <f t="shared" si="3"/>
        <v>1</v>
      </c>
      <c r="D10" s="6"/>
      <c r="F10" s="7" t="s">
        <v>156</v>
      </c>
      <c r="G10" s="8">
        <f>COUNTIF('Nuclei Results'!$D$5:$D$200,F10)</f>
        <v>33</v>
      </c>
      <c r="H10" s="22">
        <f t="shared" si="2"/>
        <v>0.5593220339</v>
      </c>
    </row>
    <row r="11">
      <c r="A11" s="28" t="s">
        <v>157</v>
      </c>
      <c r="B11" s="31">
        <f>COUNTA('Risk Register'!$A$2:$A$39)</f>
        <v>38</v>
      </c>
      <c r="F11" s="5" t="s">
        <v>158</v>
      </c>
      <c r="G11" s="7">
        <f t="shared" ref="G11:H11" si="4">SUM(G6:G10)</f>
        <v>59</v>
      </c>
      <c r="H11" s="30">
        <f t="shared" si="4"/>
        <v>1</v>
      </c>
    </row>
    <row r="13">
      <c r="A13" s="21" t="s">
        <v>24</v>
      </c>
      <c r="F13" s="21" t="s">
        <v>159</v>
      </c>
    </row>
    <row r="14">
      <c r="A14" s="2" t="s">
        <v>160</v>
      </c>
      <c r="B14" s="2" t="s">
        <v>116</v>
      </c>
      <c r="C14" s="2" t="s">
        <v>117</v>
      </c>
      <c r="F14" s="2" t="s">
        <v>161</v>
      </c>
      <c r="G14" s="2" t="s">
        <v>162</v>
      </c>
    </row>
    <row r="15">
      <c r="A15" s="7" t="s">
        <v>125</v>
      </c>
      <c r="B15" s="8">
        <f>COUNTIF('Risk Register'!$S$2:$S$39,A15)</f>
        <v>20</v>
      </c>
      <c r="C15" s="22">
        <f t="shared" ref="C15:C17" si="5">IF($B$10=0,0,B15/$B$10)</f>
        <v>0.5263157895</v>
      </c>
      <c r="F15" s="5" t="s">
        <v>163</v>
      </c>
      <c r="G15" s="32">
        <v>65535.0</v>
      </c>
    </row>
    <row r="16">
      <c r="A16" s="7" t="s">
        <v>141</v>
      </c>
      <c r="B16" s="8">
        <f>COUNTIF('Risk Register'!$S$2:$S$39,A16)</f>
        <v>10</v>
      </c>
      <c r="C16" s="22">
        <f t="shared" si="5"/>
        <v>0.2631578947</v>
      </c>
      <c r="F16" s="5" t="s">
        <v>168</v>
      </c>
      <c r="G16" s="33">
        <f>COUNTA('Open Ports'!$A$5:$A$100)</f>
        <v>30</v>
      </c>
    </row>
    <row r="17">
      <c r="A17" s="7" t="s">
        <v>146</v>
      </c>
      <c r="B17" s="8">
        <f>COUNTIF('Risk Register'!$S$2:$S$39,A17)</f>
        <v>8</v>
      </c>
      <c r="C17" s="22">
        <f t="shared" si="5"/>
        <v>0.2105263158</v>
      </c>
      <c r="F17" s="5" t="s">
        <v>178</v>
      </c>
      <c r="G17" s="33">
        <f>G15-G16-G18</f>
        <v>65505</v>
      </c>
    </row>
    <row r="18">
      <c r="F18" s="5" t="s">
        <v>179</v>
      </c>
      <c r="G18" s="32">
        <v>0.0</v>
      </c>
    </row>
    <row r="19">
      <c r="A19" s="21" t="s">
        <v>38</v>
      </c>
    </row>
    <row r="20">
      <c r="A20" s="2" t="s">
        <v>180</v>
      </c>
      <c r="B20" s="2" t="s">
        <v>116</v>
      </c>
      <c r="C20" s="2" t="s">
        <v>117</v>
      </c>
      <c r="F20" s="23" t="s">
        <v>181</v>
      </c>
      <c r="G20" s="8">
        <f>COUNTA('Nikto Results'!$A$5:$A$100)</f>
        <v>27</v>
      </c>
    </row>
    <row r="21" ht="15.75" customHeight="1">
      <c r="A21" s="5" t="s">
        <v>61</v>
      </c>
      <c r="B21" s="8">
        <f>COUNTIF('Risk Register'!$AG$2:$AG$39,A21)</f>
        <v>38</v>
      </c>
      <c r="C21" s="22">
        <f t="shared" ref="C21:C25" si="6">IF($B$10=0,0,B21/$B$10)</f>
        <v>1</v>
      </c>
    </row>
    <row r="22" ht="15.75" customHeight="1">
      <c r="A22" s="5" t="s">
        <v>182</v>
      </c>
      <c r="B22" s="8">
        <f>COUNTIF('Risk Register'!$AG$2:$AG$39,A22)</f>
        <v>0</v>
      </c>
      <c r="C22" s="22">
        <f t="shared" si="6"/>
        <v>0</v>
      </c>
    </row>
    <row r="23" ht="15.75" customHeight="1">
      <c r="A23" s="5" t="s">
        <v>183</v>
      </c>
      <c r="B23" s="8">
        <f>COUNTIF('Risk Register'!$AG$2:$AG$39,A23)</f>
        <v>0</v>
      </c>
      <c r="C23" s="22">
        <f t="shared" si="6"/>
        <v>0</v>
      </c>
    </row>
    <row r="24" ht="15.75" customHeight="1">
      <c r="A24" s="5" t="s">
        <v>188</v>
      </c>
      <c r="B24" s="8">
        <f>COUNTIF('Risk Register'!$AG$2:$AG$39,A24)</f>
        <v>0</v>
      </c>
      <c r="C24" s="22">
        <f t="shared" si="6"/>
        <v>0</v>
      </c>
    </row>
    <row r="25" ht="15.75" customHeight="1">
      <c r="A25" s="5" t="s">
        <v>189</v>
      </c>
      <c r="B25" s="8">
        <f>COUNTIF('Risk Register'!$AG$2:$AG$39,A25)</f>
        <v>0</v>
      </c>
      <c r="C25" s="22">
        <f t="shared" si="6"/>
        <v>0</v>
      </c>
    </row>
    <row r="26" ht="15.75" customHeight="1"/>
    <row r="27" ht="15.75" customHeight="1">
      <c r="A27" s="21" t="s">
        <v>196</v>
      </c>
    </row>
    <row r="28" ht="15.75" customHeight="1">
      <c r="A28" s="2" t="s">
        <v>4</v>
      </c>
      <c r="B28" s="2" t="s">
        <v>1</v>
      </c>
      <c r="C28" s="2" t="s">
        <v>20</v>
      </c>
      <c r="D28" s="2" t="s">
        <v>199</v>
      </c>
    </row>
    <row r="29" ht="27.75" customHeight="1">
      <c r="A29" s="6" t="str">
        <f>'Risk Register'!C2</f>
        <v>vsftpd 2.3.4 backdoor detected</v>
      </c>
      <c r="B29" s="7" t="str">
        <f>'Risk Register'!A2</f>
        <v>R01</v>
      </c>
      <c r="C29" s="8">
        <f>'Risk Register'!Q2</f>
        <v>25</v>
      </c>
      <c r="D29" s="6" t="str">
        <f>'Risk Register'!F2</f>
        <v>TCP/21 (backdoor shell TCP/6200)</v>
      </c>
    </row>
    <row r="30" ht="27.75" customHeight="1">
      <c r="A30" s="6" t="str">
        <f>'Risk Register'!C3</f>
        <v>Bind shell identified as 'Metasploitable root shell'</v>
      </c>
      <c r="B30" s="7" t="str">
        <f>'Risk Register'!A3</f>
        <v>R02</v>
      </c>
      <c r="C30" s="8">
        <f>'Risk Register'!Q3</f>
        <v>25</v>
      </c>
      <c r="D30" s="6" t="str">
        <f>'Risk Register'!F3</f>
        <v>TCP/1524</v>
      </c>
    </row>
    <row r="31" ht="27.75" customHeight="1">
      <c r="A31" s="6" t="str">
        <f>'Risk Register'!C4</f>
        <v>PostgreSQL accessible with empty and default credentials</v>
      </c>
      <c r="B31" s="7" t="str">
        <f>'Risk Register'!A4</f>
        <v>R03</v>
      </c>
      <c r="C31" s="8">
        <f>'Risk Register'!Q4</f>
        <v>20</v>
      </c>
      <c r="D31" s="6" t="str">
        <f>'Risk Register'!F4</f>
        <v>TCP/5432</v>
      </c>
    </row>
    <row r="32" ht="27.75" customHeight="1">
      <c r="A32" s="6" t="str">
        <f>'Risk Register'!C5</f>
        <v>Apache JServ (AJP) 'Ghostcat' vulnerability</v>
      </c>
      <c r="B32" s="7" t="str">
        <f>'Risk Register'!A5</f>
        <v>R04</v>
      </c>
      <c r="C32" s="8">
        <f>'Risk Register'!Q5</f>
        <v>20</v>
      </c>
      <c r="D32" s="6" t="str">
        <f>'Risk Register'!F5</f>
        <v>TCP/8009</v>
      </c>
    </row>
    <row r="33" ht="27.75" customHeight="1">
      <c r="A33" s="6" t="str">
        <f>'Risk Register'!C6</f>
        <v>distccd remote command execution</v>
      </c>
      <c r="B33" s="7" t="str">
        <f>'Risk Register'!A6</f>
        <v>R05</v>
      </c>
      <c r="C33" s="8">
        <f>'Risk Register'!Q6</f>
        <v>20</v>
      </c>
      <c r="D33" s="6" t="str">
        <f>'Risk Register'!F6</f>
        <v>TCP/3632</v>
      </c>
    </row>
    <row r="34" ht="27.75" customHeight="1">
      <c r="A34" s="6" t="str">
        <f>'Risk Register'!C7</f>
        <v>VNC remote desktop with weak password and weak protocol</v>
      </c>
      <c r="B34" s="7" t="str">
        <f>'Risk Register'!A7</f>
        <v>R06</v>
      </c>
      <c r="C34" s="8">
        <f>'Risk Register'!Q7</f>
        <v>20</v>
      </c>
      <c r="D34" s="6" t="str">
        <f>'Risk Register'!F7</f>
        <v>TCP/5900</v>
      </c>
    </row>
    <row r="35" ht="15.75" customHeight="1"/>
    <row r="36" ht="15.75" customHeight="1">
      <c r="A36" s="3" t="s">
        <v>215</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6:A9">
    <cfRule type="cellIs" dxfId="0" priority="1" operator="equal">
      <formula>"Critical"</formula>
    </cfRule>
  </conditionalFormatting>
  <conditionalFormatting sqref="A6:A9">
    <cfRule type="cellIs" dxfId="1" priority="2" operator="equal">
      <formula>"High"</formula>
    </cfRule>
  </conditionalFormatting>
  <conditionalFormatting sqref="A6:A9">
    <cfRule type="cellIs" dxfId="2" priority="3" operator="equal">
      <formula>"Medium"</formula>
    </cfRule>
  </conditionalFormatting>
  <conditionalFormatting sqref="A6:A9">
    <cfRule type="cellIs" dxfId="3" priority="4" operator="equal">
      <formula>"Low"</formula>
    </cfRule>
  </conditionalFormatting>
  <conditionalFormatting sqref="A6:A9">
    <cfRule type="cellIs" dxfId="4" priority="5" operator="equal">
      <formula>"Info"</formula>
    </cfRule>
  </conditionalFormatting>
  <conditionalFormatting sqref="F6:F10">
    <cfRule type="cellIs" dxfId="0" priority="6" operator="equal">
      <formula>"Critical"</formula>
    </cfRule>
  </conditionalFormatting>
  <conditionalFormatting sqref="F6:F10">
    <cfRule type="cellIs" dxfId="1" priority="7" operator="equal">
      <formula>"High"</formula>
    </cfRule>
  </conditionalFormatting>
  <conditionalFormatting sqref="F6:F10">
    <cfRule type="cellIs" dxfId="2" priority="8" operator="equal">
      <formula>"Medium"</formula>
    </cfRule>
  </conditionalFormatting>
  <conditionalFormatting sqref="F6:F10">
    <cfRule type="cellIs" dxfId="3" priority="9" operator="equal">
      <formula>"Low"</formula>
    </cfRule>
  </conditionalFormatting>
  <conditionalFormatting sqref="F6:F10">
    <cfRule type="cellIs" dxfId="4" priority="10" operator="equal">
      <formula>"Info"</formula>
    </cfRule>
  </conditionalFormatting>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E3C99"/>
    <pageSetUpPr fitToPage="1"/>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7.0"/>
    <col customWidth="1" min="2" max="2" width="38.0"/>
    <col customWidth="1" min="3" max="3" width="12.0"/>
    <col customWidth="1" min="4" max="5" width="20.0"/>
    <col customWidth="1" min="6" max="6" width="16.0"/>
    <col customWidth="1" min="7" max="7" width="22.0"/>
    <col customWidth="1" min="8" max="8" width="34.0"/>
    <col customWidth="1" min="9" max="26" width="8.71"/>
  </cols>
  <sheetData>
    <row r="1">
      <c r="A1" s="1"/>
    </row>
    <row r="2">
      <c r="A2" s="3" t="s">
        <v>14</v>
      </c>
    </row>
    <row r="4">
      <c r="A4" s="2" t="s">
        <v>1</v>
      </c>
      <c r="B4" s="2" t="s">
        <v>4</v>
      </c>
      <c r="C4" s="2" t="s">
        <v>23</v>
      </c>
      <c r="D4" s="2" t="s">
        <v>25</v>
      </c>
      <c r="E4" s="2" t="s">
        <v>27</v>
      </c>
      <c r="F4" s="2" t="s">
        <v>29</v>
      </c>
      <c r="G4" s="2" t="s">
        <v>30</v>
      </c>
      <c r="H4" s="2" t="s">
        <v>31</v>
      </c>
    </row>
    <row r="5" ht="30.0" customHeight="1">
      <c r="A5" s="7" t="str">
        <f>'Risk Register'!A2</f>
        <v>R01</v>
      </c>
      <c r="B5" s="5" t="str">
        <f>'Risk Register'!C2</f>
        <v>vsftpd 2.3.4 backdoor detected</v>
      </c>
      <c r="C5" s="8" t="str">
        <f>'Risk Register'!R2</f>
        <v>Critical</v>
      </c>
      <c r="D5" s="6" t="str">
        <f>'Risk Register'!V2</f>
        <v>CIS 7.1, 7.4, 7.7</v>
      </c>
      <c r="E5" s="6" t="str">
        <f>'Risk Register'!W2</f>
        <v>ID.RA-01; PR.PS-02</v>
      </c>
      <c r="F5" s="6" t="str">
        <f>'Risk Register'!X2</f>
        <v>A.8.8</v>
      </c>
      <c r="G5" s="6" t="str">
        <f>'Risk Register'!Y2</f>
        <v>Req. 6.3.1, 6.3.3</v>
      </c>
      <c r="H5" s="6" t="str">
        <f>'Risk Register'!Z2</f>
        <v>A06:2021 Vulnerable and Outdated Components</v>
      </c>
    </row>
    <row r="6" ht="30.0" customHeight="1">
      <c r="A6" s="10" t="str">
        <f>'Risk Register'!A3</f>
        <v>R02</v>
      </c>
      <c r="B6" s="11" t="str">
        <f>'Risk Register'!C3</f>
        <v>Bind shell identified as 'Metasploitable root shell'</v>
      </c>
      <c r="C6" s="12" t="str">
        <f>'Risk Register'!R3</f>
        <v>Critical</v>
      </c>
      <c r="D6" s="13" t="str">
        <f>'Risk Register'!V3</f>
        <v>CIS 4.1, 4.8</v>
      </c>
      <c r="E6" s="13" t="str">
        <f>'Risk Register'!W3</f>
        <v>PR.PS-01</v>
      </c>
      <c r="F6" s="13" t="str">
        <f>'Risk Register'!X3</f>
        <v>A.8.9</v>
      </c>
      <c r="G6" s="13" t="str">
        <f>'Risk Register'!Y3</f>
        <v>Req. 2.2.4</v>
      </c>
      <c r="H6" s="13" t="str">
        <f>'Risk Register'!Z3</f>
        <v>A05:2021 Security Misconfiguration</v>
      </c>
    </row>
    <row r="7" ht="30.0" customHeight="1">
      <c r="A7" s="7" t="str">
        <f>'Risk Register'!A4</f>
        <v>R03</v>
      </c>
      <c r="B7" s="5" t="str">
        <f>'Risk Register'!C4</f>
        <v>PostgreSQL accessible with empty and default credentials</v>
      </c>
      <c r="C7" s="8" t="str">
        <f>'Risk Register'!R4</f>
        <v>Critical</v>
      </c>
      <c r="D7" s="6" t="str">
        <f>'Risk Register'!V4</f>
        <v>CIS 4.7, 5.2, 6.1</v>
      </c>
      <c r="E7" s="6" t="str">
        <f>'Risk Register'!W4</f>
        <v>PR.AA-01; PR.AA-03</v>
      </c>
      <c r="F7" s="6" t="str">
        <f>'Risk Register'!X4</f>
        <v>A.5.17; A.8.5</v>
      </c>
      <c r="G7" s="6" t="str">
        <f>'Risk Register'!Y4</f>
        <v>Req. 2.2.2, 8.3.1, 8.3.6</v>
      </c>
      <c r="H7" s="6" t="str">
        <f>'Risk Register'!Z4</f>
        <v>A07:2021 Identification and Authentication Failures</v>
      </c>
    </row>
    <row r="8" ht="30.0" customHeight="1">
      <c r="A8" s="10" t="str">
        <f>'Risk Register'!A5</f>
        <v>R04</v>
      </c>
      <c r="B8" s="11" t="str">
        <f>'Risk Register'!C5</f>
        <v>Apache JServ (AJP) 'Ghostcat' vulnerability</v>
      </c>
      <c r="C8" s="12" t="str">
        <f>'Risk Register'!R5</f>
        <v>Critical</v>
      </c>
      <c r="D8" s="13" t="str">
        <f>'Risk Register'!V5</f>
        <v>CIS 7.1, 7.4, 7.7</v>
      </c>
      <c r="E8" s="13" t="str">
        <f>'Risk Register'!W5</f>
        <v>ID.RA-01; PR.PS-02</v>
      </c>
      <c r="F8" s="13" t="str">
        <f>'Risk Register'!X5</f>
        <v>A.8.8</v>
      </c>
      <c r="G8" s="13" t="str">
        <f>'Risk Register'!Y5</f>
        <v>Req. 6.3.1, 6.3.3</v>
      </c>
      <c r="H8" s="13" t="str">
        <f>'Risk Register'!Z5</f>
        <v>A06:2021 Vulnerable and Outdated Components</v>
      </c>
    </row>
    <row r="9" ht="30.0" customHeight="1">
      <c r="A9" s="7" t="str">
        <f>'Risk Register'!A6</f>
        <v>R05</v>
      </c>
      <c r="B9" s="5" t="str">
        <f>'Risk Register'!C6</f>
        <v>distccd remote command execution</v>
      </c>
      <c r="C9" s="8" t="str">
        <f>'Risk Register'!R6</f>
        <v>Critical</v>
      </c>
      <c r="D9" s="6" t="str">
        <f>'Risk Register'!V6</f>
        <v>CIS 4.1, 4.8</v>
      </c>
      <c r="E9" s="6" t="str">
        <f>'Risk Register'!W6</f>
        <v>PR.PS-01</v>
      </c>
      <c r="F9" s="6" t="str">
        <f>'Risk Register'!X6</f>
        <v>A.8.9</v>
      </c>
      <c r="G9" s="6" t="str">
        <f>'Risk Register'!Y6</f>
        <v>Req. 2.2.4</v>
      </c>
      <c r="H9" s="6" t="str">
        <f>'Risk Register'!Z6</f>
        <v>A05:2021 Security Misconfiguration</v>
      </c>
    </row>
    <row r="10" ht="30.0" customHeight="1">
      <c r="A10" s="10" t="str">
        <f>'Risk Register'!A7</f>
        <v>R06</v>
      </c>
      <c r="B10" s="11" t="str">
        <f>'Risk Register'!C7</f>
        <v>VNC remote desktop with weak password and weak protocol</v>
      </c>
      <c r="C10" s="12" t="str">
        <f>'Risk Register'!R7</f>
        <v>Critical</v>
      </c>
      <c r="D10" s="13" t="str">
        <f>'Risk Register'!V7</f>
        <v>CIS 4.7, 5.2, 6.1</v>
      </c>
      <c r="E10" s="13" t="str">
        <f>'Risk Register'!W7</f>
        <v>PR.AA-01; PR.AA-03</v>
      </c>
      <c r="F10" s="13" t="str">
        <f>'Risk Register'!X7</f>
        <v>A.5.17; A.8.5</v>
      </c>
      <c r="G10" s="13" t="str">
        <f>'Risk Register'!Y7</f>
        <v>Req. 2.2.2, 8.3.1, 8.3.6</v>
      </c>
      <c r="H10" s="13" t="str">
        <f>'Risk Register'!Z7</f>
        <v>A07:2021 Identification and Authentication Failures</v>
      </c>
    </row>
    <row r="11" ht="30.0" customHeight="1">
      <c r="A11" s="7" t="str">
        <f>'Risk Register'!A8</f>
        <v>R07</v>
      </c>
      <c r="B11" s="5" t="str">
        <f>'Risk Register'!C8</f>
        <v>UnrealIRCd 3.2.8.1 (release known to have been trojaned)</v>
      </c>
      <c r="C11" s="8" t="str">
        <f>'Risk Register'!R8</f>
        <v>High</v>
      </c>
      <c r="D11" s="6" t="str">
        <f>'Risk Register'!V8</f>
        <v>CIS 7.1, 7.4, 7.7</v>
      </c>
      <c r="E11" s="6" t="str">
        <f>'Risk Register'!W8</f>
        <v>ID.RA-01; PR.PS-02</v>
      </c>
      <c r="F11" s="6" t="str">
        <f>'Risk Register'!X8</f>
        <v>A.8.8</v>
      </c>
      <c r="G11" s="6" t="str">
        <f>'Risk Register'!Y8</f>
        <v>Req. 6.3.1, 6.3.3</v>
      </c>
      <c r="H11" s="6" t="str">
        <f>'Risk Register'!Z8</f>
        <v>A06:2021 Vulnerable and Outdated Components</v>
      </c>
    </row>
    <row r="12" ht="30.0" customHeight="1">
      <c r="A12" s="10" t="str">
        <f>'Risk Register'!A9</f>
        <v>R08</v>
      </c>
      <c r="B12" s="11" t="str">
        <f>'Risk Register'!C9</f>
        <v>Telnet service exposed (cleartext remote login)</v>
      </c>
      <c r="C12" s="12" t="str">
        <f>'Risk Register'!R9</f>
        <v>High</v>
      </c>
      <c r="D12" s="13" t="str">
        <f>'Risk Register'!V9</f>
        <v>CIS 3.10, 12.6</v>
      </c>
      <c r="E12" s="13" t="str">
        <f>'Risk Register'!W9</f>
        <v>PR.DS-02</v>
      </c>
      <c r="F12" s="13" t="str">
        <f>'Risk Register'!X9</f>
        <v>A.8.24; A.5.14</v>
      </c>
      <c r="G12" s="13" t="str">
        <f>'Risk Register'!Y9</f>
        <v>Req. 2.2.7, 4.2.1</v>
      </c>
      <c r="H12" s="13" t="str">
        <f>'Risk Register'!Z9</f>
        <v>A02:2021 Cryptographic Failures</v>
      </c>
    </row>
    <row r="13" ht="30.0" customHeight="1">
      <c r="A13" s="7" t="str">
        <f>'Risk Register'!A10</f>
        <v>R09</v>
      </c>
      <c r="B13" s="5" t="str">
        <f>'Risk Register'!C10</f>
        <v>Legacy r-services exposed (rexec, rlogin, rsh)</v>
      </c>
      <c r="C13" s="8" t="str">
        <f>'Risk Register'!R10</f>
        <v>High</v>
      </c>
      <c r="D13" s="6" t="str">
        <f>'Risk Register'!V10</f>
        <v>CIS 3.10, 12.6</v>
      </c>
      <c r="E13" s="6" t="str">
        <f>'Risk Register'!W10</f>
        <v>PR.DS-02</v>
      </c>
      <c r="F13" s="6" t="str">
        <f>'Risk Register'!X10</f>
        <v>A.8.24; A.5.14</v>
      </c>
      <c r="G13" s="6" t="str">
        <f>'Risk Register'!Y10</f>
        <v>Req. 2.2.7, 4.2.1</v>
      </c>
      <c r="H13" s="6" t="str">
        <f>'Risk Register'!Z10</f>
        <v>A02:2021 Cryptographic Failures</v>
      </c>
    </row>
    <row r="14" ht="30.0" customHeight="1">
      <c r="A14" s="10" t="str">
        <f>'Risk Register'!A11</f>
        <v>R10</v>
      </c>
      <c r="B14" s="11" t="str">
        <f>'Risk Register'!C11</f>
        <v>Anonymous FTP login and weak FTP credentials</v>
      </c>
      <c r="C14" s="12" t="str">
        <f>'Risk Register'!R11</f>
        <v>High</v>
      </c>
      <c r="D14" s="13" t="str">
        <f>'Risk Register'!V11</f>
        <v>CIS 4.7, 5.2, 6.1</v>
      </c>
      <c r="E14" s="13" t="str">
        <f>'Risk Register'!W11</f>
        <v>PR.AA-01; PR.AA-03</v>
      </c>
      <c r="F14" s="13" t="str">
        <f>'Risk Register'!X11</f>
        <v>A.5.17; A.8.5</v>
      </c>
      <c r="G14" s="13" t="str">
        <f>'Risk Register'!Y11</f>
        <v>Req. 2.2.2, 8.3.1, 8.3.6</v>
      </c>
      <c r="H14" s="13" t="str">
        <f>'Risk Register'!Z11</f>
        <v>A07:2021 Identification and Authentication Failures</v>
      </c>
    </row>
    <row r="15" ht="30.0" customHeight="1">
      <c r="A15" s="7" t="str">
        <f>'Risk Register'!A12</f>
        <v>R11</v>
      </c>
      <c r="B15" s="5" t="str">
        <f>'Risk Register'!C12</f>
        <v>Samba 3.0.20 flagged for CVE-2026-4480 (version-based)</v>
      </c>
      <c r="C15" s="8" t="str">
        <f>'Risk Register'!R12</f>
        <v>High</v>
      </c>
      <c r="D15" s="6" t="str">
        <f>'Risk Register'!V12</f>
        <v>CIS 7.1, 7.4, 7.7</v>
      </c>
      <c r="E15" s="6" t="str">
        <f>'Risk Register'!W12</f>
        <v>ID.RA-01; PR.PS-02</v>
      </c>
      <c r="F15" s="6" t="str">
        <f>'Risk Register'!X12</f>
        <v>A.8.8</v>
      </c>
      <c r="G15" s="6" t="str">
        <f>'Risk Register'!Y12</f>
        <v>Req. 6.3.1, 6.3.3</v>
      </c>
      <c r="H15" s="6" t="str">
        <f>'Risk Register'!Z12</f>
        <v>A06:2021 Vulnerable and Outdated Components</v>
      </c>
    </row>
    <row r="16" ht="30.0" customHeight="1">
      <c r="A16" s="10" t="str">
        <f>'Risk Register'!A13</f>
        <v>R12</v>
      </c>
      <c r="B16" s="11" t="str">
        <f>'Risk Register'!C13</f>
        <v>SMB weaknesses: SMBv1, guest access and signing disabled</v>
      </c>
      <c r="C16" s="12" t="str">
        <f>'Risk Register'!R13</f>
        <v>High</v>
      </c>
      <c r="D16" s="13" t="str">
        <f>'Risk Register'!V13</f>
        <v>CIS 3.3, 6.1, 6.8</v>
      </c>
      <c r="E16" s="13" t="str">
        <f>'Risk Register'!W13</f>
        <v>PR.AA-05</v>
      </c>
      <c r="F16" s="13" t="str">
        <f>'Risk Register'!X13</f>
        <v>A.5.15; A.8.3</v>
      </c>
      <c r="G16" s="13" t="str">
        <f>'Risk Register'!Y13</f>
        <v>Req. 7.2</v>
      </c>
      <c r="H16" s="13" t="str">
        <f>'Risk Register'!Z13</f>
        <v>A01:2021 Broken Access Control</v>
      </c>
    </row>
    <row r="17" ht="30.0" customHeight="1">
      <c r="A17" s="7" t="str">
        <f>'Risk Register'!A14</f>
        <v>R13</v>
      </c>
      <c r="B17" s="5" t="str">
        <f>'Risk Register'!C14</f>
        <v>PHP-CGI argument injection</v>
      </c>
      <c r="C17" s="8" t="str">
        <f>'Risk Register'!R14</f>
        <v>High</v>
      </c>
      <c r="D17" s="6" t="str">
        <f>'Risk Register'!V14</f>
        <v>CIS 7.1, 7.4, 7.7</v>
      </c>
      <c r="E17" s="6" t="str">
        <f>'Risk Register'!W14</f>
        <v>ID.RA-01; PR.PS-02</v>
      </c>
      <c r="F17" s="6" t="str">
        <f>'Risk Register'!X14</f>
        <v>A.8.8</v>
      </c>
      <c r="G17" s="6" t="str">
        <f>'Risk Register'!Y14</f>
        <v>Req. 6.3.1, 6.3.3</v>
      </c>
      <c r="H17" s="6" t="str">
        <f>'Risk Register'!Z14</f>
        <v>A06:2021 Vulnerable and Outdated Components</v>
      </c>
    </row>
    <row r="18" ht="30.0" customHeight="1">
      <c r="A18" s="10" t="str">
        <f>'Risk Register'!A15</f>
        <v>R14</v>
      </c>
      <c r="B18" s="11" t="str">
        <f>'Risk Register'!C15</f>
        <v>End-of-life web stack: Apache 2.2.8 and PHP 5.2.4</v>
      </c>
      <c r="C18" s="12" t="str">
        <f>'Risk Register'!R15</f>
        <v>High</v>
      </c>
      <c r="D18" s="13" t="str">
        <f>'Risk Register'!V15</f>
        <v>CIS 2.2, 7.4, 7.7</v>
      </c>
      <c r="E18" s="13" t="str">
        <f>'Risk Register'!W15</f>
        <v>PR.PS-02; ID.RA-01</v>
      </c>
      <c r="F18" s="13" t="str">
        <f>'Risk Register'!X15</f>
        <v>A.8.8; A.8.19</v>
      </c>
      <c r="G18" s="13" t="str">
        <f>'Risk Register'!Y15</f>
        <v>Req. 6.3.3</v>
      </c>
      <c r="H18" s="13" t="str">
        <f>'Risk Register'!Z15</f>
        <v>A06:2021 Vulnerable and Outdated Components</v>
      </c>
    </row>
    <row r="19" ht="30.0" customHeight="1">
      <c r="A19" s="7" t="str">
        <f>'Risk Register'!A16</f>
        <v>R15</v>
      </c>
      <c r="B19" s="5" t="str">
        <f>'Risk Register'!C16</f>
        <v>Legacy database services exposed to the network</v>
      </c>
      <c r="C19" s="8" t="str">
        <f>'Risk Register'!R16</f>
        <v>High</v>
      </c>
      <c r="D19" s="6" t="str">
        <f>'Risk Register'!V16</f>
        <v>CIS 2.2, 7.4, 7.7</v>
      </c>
      <c r="E19" s="6" t="str">
        <f>'Risk Register'!W16</f>
        <v>PR.PS-02; ID.RA-01</v>
      </c>
      <c r="F19" s="6" t="str">
        <f>'Risk Register'!X16</f>
        <v>A.8.8; A.8.19</v>
      </c>
      <c r="G19" s="6" t="str">
        <f>'Risk Register'!Y16</f>
        <v>Req. 6.3.3</v>
      </c>
      <c r="H19" s="6" t="str">
        <f>'Risk Register'!Z16</f>
        <v>A06:2021 Vulnerable and Outdated Components</v>
      </c>
    </row>
    <row r="20" ht="30.0" customHeight="1">
      <c r="A20" s="10" t="str">
        <f>'Risk Register'!A17</f>
        <v>R16</v>
      </c>
      <c r="B20" s="11" t="str">
        <f>'Risk Register'!C17</f>
        <v>Ruby DRb (distributed Ruby) service exposed</v>
      </c>
      <c r="C20" s="12" t="str">
        <f>'Risk Register'!R17</f>
        <v>High</v>
      </c>
      <c r="D20" s="13" t="str">
        <f>'Risk Register'!V17</f>
        <v>CIS 4.1, 4.8</v>
      </c>
      <c r="E20" s="13" t="str">
        <f>'Risk Register'!W17</f>
        <v>PR.PS-01</v>
      </c>
      <c r="F20" s="13" t="str">
        <f>'Risk Register'!X17</f>
        <v>A.8.9</v>
      </c>
      <c r="G20" s="13" t="str">
        <f>'Risk Register'!Y17</f>
        <v>Req. 2.2.4</v>
      </c>
      <c r="H20" s="13" t="str">
        <f>'Risk Register'!Z17</f>
        <v>A05:2021 Security Misconfiguration</v>
      </c>
    </row>
    <row r="21" ht="30.0" customHeight="1">
      <c r="A21" s="7" t="str">
        <f>'Risk Register'!A18</f>
        <v>R17</v>
      </c>
      <c r="B21" s="5" t="str">
        <f>'Risk Register'!C18</f>
        <v>End-of-life Apache Tomcat 5.5 application server</v>
      </c>
      <c r="C21" s="8" t="str">
        <f>'Risk Register'!R18</f>
        <v>High</v>
      </c>
      <c r="D21" s="6" t="str">
        <f>'Risk Register'!V18</f>
        <v>CIS 2.2, 7.4, 7.7</v>
      </c>
      <c r="E21" s="6" t="str">
        <f>'Risk Register'!W18</f>
        <v>PR.PS-02; ID.RA-01</v>
      </c>
      <c r="F21" s="6" t="str">
        <f>'Risk Register'!X18</f>
        <v>A.8.8; A.8.19</v>
      </c>
      <c r="G21" s="6" t="str">
        <f>'Risk Register'!Y18</f>
        <v>Req. 6.3.3</v>
      </c>
      <c r="H21" s="6" t="str">
        <f>'Risk Register'!Z18</f>
        <v>A06:2021 Vulnerable and Outdated Components</v>
      </c>
    </row>
    <row r="22" ht="30.0" customHeight="1">
      <c r="A22" s="10" t="str">
        <f>'Risk Register'!A19</f>
        <v>R18</v>
      </c>
      <c r="B22" s="11" t="str">
        <f>'Risk Register'!C19</f>
        <v>SSLv2 and weak ciphers supported by SMTP service</v>
      </c>
      <c r="C22" s="12" t="str">
        <f>'Risk Register'!R19</f>
        <v>High</v>
      </c>
      <c r="D22" s="13" t="str">
        <f>'Risk Register'!V19</f>
        <v>CIS 3.10, 12.6</v>
      </c>
      <c r="E22" s="13" t="str">
        <f>'Risk Register'!W19</f>
        <v>PR.DS-02</v>
      </c>
      <c r="F22" s="13" t="str">
        <f>'Risk Register'!X19</f>
        <v>A.8.24; A.5.14</v>
      </c>
      <c r="G22" s="13" t="str">
        <f>'Risk Register'!Y19</f>
        <v>Req. 2.2.7, 4.2.1</v>
      </c>
      <c r="H22" s="13" t="str">
        <f>'Risk Register'!Z19</f>
        <v>A02:2021 Cryptographic Failures</v>
      </c>
    </row>
    <row r="23" ht="30.0" customHeight="1">
      <c r="A23" s="7" t="str">
        <f>'Risk Register'!A20</f>
        <v>R19</v>
      </c>
      <c r="B23" s="5" t="str">
        <f>'Risk Register'!C20</f>
        <v>Unsupported legacy operating system</v>
      </c>
      <c r="C23" s="8" t="str">
        <f>'Risk Register'!R20</f>
        <v>High</v>
      </c>
      <c r="D23" s="6" t="str">
        <f>'Risk Register'!V20</f>
        <v>CIS 2.2, 7.4, 7.7</v>
      </c>
      <c r="E23" s="6" t="str">
        <f>'Risk Register'!W20</f>
        <v>PR.PS-02; ID.RA-01</v>
      </c>
      <c r="F23" s="6" t="str">
        <f>'Risk Register'!X20</f>
        <v>A.8.8; A.8.19</v>
      </c>
      <c r="G23" s="6" t="str">
        <f>'Risk Register'!Y20</f>
        <v>Req. 6.3.3</v>
      </c>
      <c r="H23" s="6" t="str">
        <f>'Risk Register'!Z20</f>
        <v>A06:2021 Vulnerable and Outdated Components</v>
      </c>
    </row>
    <row r="24" ht="30.0" customHeight="1">
      <c r="A24" s="10" t="str">
        <f>'Risk Register'!A21</f>
        <v>R20</v>
      </c>
      <c r="B24" s="11" t="str">
        <f>'Risk Register'!C21</f>
        <v>Excessive attack surface and no network filtering</v>
      </c>
      <c r="C24" s="12" t="str">
        <f>'Risk Register'!R21</f>
        <v>High</v>
      </c>
      <c r="D24" s="13" t="str">
        <f>'Risk Register'!V21</f>
        <v>CIS 4.4, 12.2, 13.4</v>
      </c>
      <c r="E24" s="13" t="str">
        <f>'Risk Register'!W21</f>
        <v>PR.IR-01</v>
      </c>
      <c r="F24" s="13" t="str">
        <f>'Risk Register'!X21</f>
        <v>A.8.20; A.8.22</v>
      </c>
      <c r="G24" s="13" t="str">
        <f>'Risk Register'!Y21</f>
        <v>Req. 1.3, 1.4</v>
      </c>
      <c r="H24" s="13" t="str">
        <f>'Risk Register'!Z21</f>
        <v>A05:2021 Security Misconfiguration</v>
      </c>
    </row>
    <row r="25" ht="30.0" customHeight="1">
      <c r="A25" s="7" t="str">
        <f>'Risk Register'!A22</f>
        <v>R21</v>
      </c>
      <c r="B25" s="5" t="str">
        <f>'Risk Register'!C22</f>
        <v>NFS and RPC portmapper services exposed</v>
      </c>
      <c r="C25" s="8" t="str">
        <f>'Risk Register'!R22</f>
        <v>Medium</v>
      </c>
      <c r="D25" s="6" t="str">
        <f>'Risk Register'!V22</f>
        <v>CIS 3.3, 6.1, 6.8</v>
      </c>
      <c r="E25" s="6" t="str">
        <f>'Risk Register'!W22</f>
        <v>PR.AA-05</v>
      </c>
      <c r="F25" s="6" t="str">
        <f>'Risk Register'!X22</f>
        <v>A.5.15; A.8.3</v>
      </c>
      <c r="G25" s="6" t="str">
        <f>'Risk Register'!Y22</f>
        <v>Req. 7.2</v>
      </c>
      <c r="H25" s="6" t="str">
        <f>'Risk Register'!Z22</f>
        <v>A01:2021 Broken Access Control</v>
      </c>
    </row>
    <row r="26" ht="30.0" customHeight="1">
      <c r="A26" s="10" t="str">
        <f>'Risk Register'!A23</f>
        <v>R22</v>
      </c>
      <c r="B26" s="11" t="str">
        <f>'Risk Register'!C23</f>
        <v>phpMyAdmin administration interface exposed</v>
      </c>
      <c r="C26" s="12" t="str">
        <f>'Risk Register'!R23</f>
        <v>Medium</v>
      </c>
      <c r="D26" s="13" t="str">
        <f>'Risk Register'!V23</f>
        <v>CIS 3.3, 6.1, 6.8</v>
      </c>
      <c r="E26" s="13" t="str">
        <f>'Risk Register'!W23</f>
        <v>PR.AA-05</v>
      </c>
      <c r="F26" s="13" t="str">
        <f>'Risk Register'!X23</f>
        <v>A.5.15; A.8.3</v>
      </c>
      <c r="G26" s="13" t="str">
        <f>'Risk Register'!Y23</f>
        <v>Req. 7.2</v>
      </c>
      <c r="H26" s="13" t="str">
        <f>'Risk Register'!Z23</f>
        <v>A01:2021 Broken Access Control</v>
      </c>
    </row>
    <row r="27" ht="30.0" customHeight="1">
      <c r="A27" s="7" t="str">
        <f>'Risk Register'!A24</f>
        <v>R23</v>
      </c>
      <c r="B27" s="5" t="str">
        <f>'Risk Register'!C24</f>
        <v>phpinfo() test script exposed</v>
      </c>
      <c r="C27" s="8" t="str">
        <f>'Risk Register'!R24</f>
        <v>Medium</v>
      </c>
      <c r="D27" s="6" t="str">
        <f>'Risk Register'!V24</f>
        <v>CIS 16.7, 4.1</v>
      </c>
      <c r="E27" s="6" t="str">
        <f>'Risk Register'!W24</f>
        <v>PR.PS-01</v>
      </c>
      <c r="F27" s="6" t="str">
        <f>'Risk Register'!X24</f>
        <v>A.8.9</v>
      </c>
      <c r="G27" s="6" t="str">
        <f>'Risk Register'!Y24</f>
        <v>Req. 6.2.4</v>
      </c>
      <c r="H27" s="6" t="str">
        <f>'Risk Register'!Z24</f>
        <v>A05:2021 Security Misconfiguration (CWE-200)</v>
      </c>
    </row>
    <row r="28" ht="30.0" customHeight="1">
      <c r="A28" s="10" t="str">
        <f>'Risk Register'!A25</f>
        <v>R24</v>
      </c>
      <c r="B28" s="11" t="str">
        <f>'Risk Register'!C25</f>
        <v>Directory indexing and browsable documentation paths</v>
      </c>
      <c r="C28" s="12" t="str">
        <f>'Risk Register'!R25</f>
        <v>Medium</v>
      </c>
      <c r="D28" s="13" t="str">
        <f>'Risk Register'!V25</f>
        <v>CIS 16.7</v>
      </c>
      <c r="E28" s="13" t="str">
        <f>'Risk Register'!W25</f>
        <v>PR.PS-01</v>
      </c>
      <c r="F28" s="13" t="str">
        <f>'Risk Register'!X25</f>
        <v>A.8.9; A.8.26</v>
      </c>
      <c r="G28" s="13" t="str">
        <f>'Risk Register'!Y25</f>
        <v>Req. 6.2.4</v>
      </c>
      <c r="H28" s="13" t="str">
        <f>'Risk Register'!Z25</f>
        <v>A05:2021 Security Misconfiguration</v>
      </c>
    </row>
    <row r="29" ht="30.0" customHeight="1">
      <c r="A29" s="7" t="str">
        <f>'Risk Register'!A26</f>
        <v>R25</v>
      </c>
      <c r="B29" s="5" t="str">
        <f>'Risk Register'!C26</f>
        <v>Possible credential file '#wp-config.php#' reported</v>
      </c>
      <c r="C29" s="8" t="str">
        <f>'Risk Register'!R26</f>
        <v>Medium</v>
      </c>
      <c r="D29" s="6" t="str">
        <f>'Risk Register'!V26</f>
        <v>CIS 16.7, 4.1</v>
      </c>
      <c r="E29" s="6" t="str">
        <f>'Risk Register'!W26</f>
        <v>PR.PS-01</v>
      </c>
      <c r="F29" s="6" t="str">
        <f>'Risk Register'!X26</f>
        <v>A.8.9</v>
      </c>
      <c r="G29" s="6" t="str">
        <f>'Risk Register'!Y26</f>
        <v>Req. 6.2.4</v>
      </c>
      <c r="H29" s="6" t="str">
        <f>'Risk Register'!Z26</f>
        <v>A05:2021 Security Misconfiguration (CWE-200)</v>
      </c>
    </row>
    <row r="30" ht="30.0" customHeight="1">
      <c r="A30" s="10" t="str">
        <f>'Risk Register'!A27</f>
        <v>R26</v>
      </c>
      <c r="B30" s="11" t="str">
        <f>'Risk Register'!C27</f>
        <v>Legacy OpenSSH 4.7p1 with 1024-bit DSA host key</v>
      </c>
      <c r="C30" s="12" t="str">
        <f>'Risk Register'!R27</f>
        <v>Medium</v>
      </c>
      <c r="D30" s="13" t="str">
        <f>'Risk Register'!V27</f>
        <v>CIS 2.2, 7.4, 7.7</v>
      </c>
      <c r="E30" s="13" t="str">
        <f>'Risk Register'!W27</f>
        <v>PR.PS-02; ID.RA-01</v>
      </c>
      <c r="F30" s="13" t="str">
        <f>'Risk Register'!X27</f>
        <v>A.8.8; A.8.19</v>
      </c>
      <c r="G30" s="13" t="str">
        <f>'Risk Register'!Y27</f>
        <v>Req. 6.3.3</v>
      </c>
      <c r="H30" s="13" t="str">
        <f>'Risk Register'!Z27</f>
        <v>A06:2021 Vulnerable and Outdated Components</v>
      </c>
    </row>
    <row r="31" ht="30.0" customHeight="1">
      <c r="A31" s="7" t="str">
        <f>'Risk Register'!A28</f>
        <v>R27</v>
      </c>
      <c r="B31" s="5" t="str">
        <f>'Risk Register'!C28</f>
        <v>Legacy ISC BIND 9.4.2 DNS service</v>
      </c>
      <c r="C31" s="8" t="str">
        <f>'Risk Register'!R28</f>
        <v>Medium</v>
      </c>
      <c r="D31" s="6" t="str">
        <f>'Risk Register'!V28</f>
        <v>CIS 2.2, 7.4, 7.7</v>
      </c>
      <c r="E31" s="6" t="str">
        <f>'Risk Register'!W28</f>
        <v>PR.PS-02; ID.RA-01</v>
      </c>
      <c r="F31" s="6" t="str">
        <f>'Risk Register'!X28</f>
        <v>A.8.8; A.8.19</v>
      </c>
      <c r="G31" s="6" t="str">
        <f>'Risk Register'!Y28</f>
        <v>Req. 6.3.3</v>
      </c>
      <c r="H31" s="6" t="str">
        <f>'Risk Register'!Z28</f>
        <v>A06:2021 Vulnerable and Outdated Components</v>
      </c>
    </row>
    <row r="32" ht="30.0" customHeight="1">
      <c r="A32" s="10" t="str">
        <f>'Risk Register'!A29</f>
        <v>R28</v>
      </c>
      <c r="B32" s="11" t="str">
        <f>'Risk Register'!C29</f>
        <v>Legacy ProFTPD 1.3.1 on alternate FTP port</v>
      </c>
      <c r="C32" s="12" t="str">
        <f>'Risk Register'!R29</f>
        <v>Medium</v>
      </c>
      <c r="D32" s="13" t="str">
        <f>'Risk Register'!V29</f>
        <v>CIS 2.2, 7.4, 7.7</v>
      </c>
      <c r="E32" s="13" t="str">
        <f>'Risk Register'!W29</f>
        <v>PR.PS-02; ID.RA-01</v>
      </c>
      <c r="F32" s="13" t="str">
        <f>'Risk Register'!X29</f>
        <v>A.8.8; A.8.19</v>
      </c>
      <c r="G32" s="13" t="str">
        <f>'Risk Register'!Y29</f>
        <v>Req. 6.3.3</v>
      </c>
      <c r="H32" s="13" t="str">
        <f>'Risk Register'!Z29</f>
        <v>A06:2021 Vulnerable and Outdated Components</v>
      </c>
    </row>
    <row r="33" ht="30.0" customHeight="1">
      <c r="A33" s="7" t="str">
        <f>'Risk Register'!A30</f>
        <v>R29</v>
      </c>
      <c r="B33" s="5" t="str">
        <f>'Risk Register'!C30</f>
        <v>Java RMI registry services exposed</v>
      </c>
      <c r="C33" s="8" t="str">
        <f>'Risk Register'!R30</f>
        <v>Medium</v>
      </c>
      <c r="D33" s="6" t="str">
        <f>'Risk Register'!V30</f>
        <v>CIS 4.1, 4.8</v>
      </c>
      <c r="E33" s="6" t="str">
        <f>'Risk Register'!W30</f>
        <v>PR.PS-01</v>
      </c>
      <c r="F33" s="6" t="str">
        <f>'Risk Register'!X30</f>
        <v>A.8.9</v>
      </c>
      <c r="G33" s="6" t="str">
        <f>'Risk Register'!Y30</f>
        <v>Req. 2.2.4</v>
      </c>
      <c r="H33" s="6" t="str">
        <f>'Risk Register'!Z30</f>
        <v>A05:2021 Security Misconfiguration</v>
      </c>
    </row>
    <row r="34" ht="30.0" customHeight="1">
      <c r="A34" s="10" t="str">
        <f>'Risk Register'!A31</f>
        <v>R30</v>
      </c>
      <c r="B34" s="11" t="str">
        <f>'Risk Register'!C31</f>
        <v>Additional vsftpd CVEs flagged by version match</v>
      </c>
      <c r="C34" s="12" t="str">
        <f>'Risk Register'!R31</f>
        <v>Medium</v>
      </c>
      <c r="D34" s="13" t="str">
        <f>'Risk Register'!V31</f>
        <v>CIS 7.1, 7.4, 7.7</v>
      </c>
      <c r="E34" s="13" t="str">
        <f>'Risk Register'!W31</f>
        <v>ID.RA-01; PR.PS-02</v>
      </c>
      <c r="F34" s="13" t="str">
        <f>'Risk Register'!X31</f>
        <v>A.8.8</v>
      </c>
      <c r="G34" s="13" t="str">
        <f>'Risk Register'!Y31</f>
        <v>Req. 6.3.1, 6.3.3</v>
      </c>
      <c r="H34" s="13" t="str">
        <f>'Risk Register'!Z31</f>
        <v>A06:2021 Vulnerable and Outdated Components</v>
      </c>
    </row>
    <row r="35" ht="30.0" customHeight="1">
      <c r="A35" s="7" t="str">
        <f>'Risk Register'!A32</f>
        <v>R31</v>
      </c>
      <c r="B35" s="5" t="str">
        <f>'Risk Register'!C32</f>
        <v>Expired TLS certificates on SMTP and PostgreSQL</v>
      </c>
      <c r="C35" s="8" t="str">
        <f>'Risk Register'!R32</f>
        <v>Low</v>
      </c>
      <c r="D35" s="6" t="str">
        <f>'Risk Register'!V32</f>
        <v>CIS 3.10, 12.6</v>
      </c>
      <c r="E35" s="6" t="str">
        <f>'Risk Register'!W32</f>
        <v>PR.DS-02</v>
      </c>
      <c r="F35" s="6" t="str">
        <f>'Risk Register'!X32</f>
        <v>A.8.24; A.5.14</v>
      </c>
      <c r="G35" s="6" t="str">
        <f>'Risk Register'!Y32</f>
        <v>Req. 2.2.7, 4.2.1</v>
      </c>
      <c r="H35" s="6" t="str">
        <f>'Risk Register'!Z32</f>
        <v>A02:2021 Cryptographic Failures</v>
      </c>
    </row>
    <row r="36" ht="30.0" customHeight="1">
      <c r="A36" s="10" t="str">
        <f>'Risk Register'!A33</f>
        <v>R32</v>
      </c>
      <c r="B36" s="11" t="str">
        <f>'Risk Register'!C33</f>
        <v>SMTP user enumeration commands enabled (VRFY, ETRN)</v>
      </c>
      <c r="C36" s="12" t="str">
        <f>'Risk Register'!R33</f>
        <v>Low</v>
      </c>
      <c r="D36" s="13" t="str">
        <f>'Risk Register'!V33</f>
        <v>CIS 16.7, 4.1</v>
      </c>
      <c r="E36" s="13" t="str">
        <f>'Risk Register'!W33</f>
        <v>PR.PS-01</v>
      </c>
      <c r="F36" s="13" t="str">
        <f>'Risk Register'!X33</f>
        <v>A.8.9</v>
      </c>
      <c r="G36" s="13" t="str">
        <f>'Risk Register'!Y33</f>
        <v>Req. 6.2.4</v>
      </c>
      <c r="H36" s="13" t="str">
        <f>'Risk Register'!Z33</f>
        <v>A05:2021 Security Misconfiguration (CWE-200)</v>
      </c>
    </row>
    <row r="37" ht="30.0" customHeight="1">
      <c r="A37" s="7" t="str">
        <f>'Risk Register'!A34</f>
        <v>R33</v>
      </c>
      <c r="B37" s="5" t="str">
        <f>'Risk Register'!C34</f>
        <v>HTTP TRACE method enabled</v>
      </c>
      <c r="C37" s="8" t="str">
        <f>'Risk Register'!R34</f>
        <v>Low</v>
      </c>
      <c r="D37" s="6" t="str">
        <f>'Risk Register'!V34</f>
        <v>CIS 16.7</v>
      </c>
      <c r="E37" s="6" t="str">
        <f>'Risk Register'!W34</f>
        <v>PR.PS-01</v>
      </c>
      <c r="F37" s="6" t="str">
        <f>'Risk Register'!X34</f>
        <v>A.8.9; A.8.26</v>
      </c>
      <c r="G37" s="6" t="str">
        <f>'Risk Register'!Y34</f>
        <v>Req. 6.2.4</v>
      </c>
      <c r="H37" s="6" t="str">
        <f>'Risk Register'!Z34</f>
        <v>A05:2021 Security Misconfiguration</v>
      </c>
    </row>
    <row r="38" ht="30.0" customHeight="1">
      <c r="A38" s="10" t="str">
        <f>'Risk Register'!A35</f>
        <v>R34</v>
      </c>
      <c r="B38" s="11" t="str">
        <f>'Risk Register'!C35</f>
        <v>Missing HTTP security response headers</v>
      </c>
      <c r="C38" s="12" t="str">
        <f>'Risk Register'!R35</f>
        <v>Low</v>
      </c>
      <c r="D38" s="13" t="str">
        <f>'Risk Register'!V35</f>
        <v>CIS 16.7</v>
      </c>
      <c r="E38" s="13" t="str">
        <f>'Risk Register'!W35</f>
        <v>PR.PS-01</v>
      </c>
      <c r="F38" s="13" t="str">
        <f>'Risk Register'!X35</f>
        <v>A.8.9; A.8.26</v>
      </c>
      <c r="G38" s="13" t="str">
        <f>'Risk Register'!Y35</f>
        <v>Req. 6.2.4</v>
      </c>
      <c r="H38" s="13" t="str">
        <f>'Risk Register'!Z35</f>
        <v>A05:2021 Security Misconfiguration</v>
      </c>
    </row>
    <row r="39" ht="30.0" customHeight="1">
      <c r="A39" s="7" t="str">
        <f>'Risk Register'!A36</f>
        <v>R35</v>
      </c>
      <c r="B39" s="5" t="str">
        <f>'Risk Register'!C36</f>
        <v>Information leakage through headers, ETag and error behaviour</v>
      </c>
      <c r="C39" s="8" t="str">
        <f>'Risk Register'!R36</f>
        <v>Low</v>
      </c>
      <c r="D39" s="6" t="str">
        <f>'Risk Register'!V36</f>
        <v>CIS 16.7, 4.1</v>
      </c>
      <c r="E39" s="6" t="str">
        <f>'Risk Register'!W36</f>
        <v>PR.PS-01</v>
      </c>
      <c r="F39" s="6" t="str">
        <f>'Risk Register'!X36</f>
        <v>A.8.9</v>
      </c>
      <c r="G39" s="6" t="str">
        <f>'Risk Register'!Y36</f>
        <v>Req. 6.2.4</v>
      </c>
      <c r="H39" s="6" t="str">
        <f>'Risk Register'!Z36</f>
        <v>A05:2021 Security Misconfiguration (CWE-200)</v>
      </c>
    </row>
    <row r="40" ht="30.0" customHeight="1">
      <c r="A40" s="10" t="str">
        <f>'Risk Register'!A37</f>
        <v>R36</v>
      </c>
      <c r="B40" s="11" t="str">
        <f>'Risk Register'!C37</f>
        <v>Large clock skew relative to scanner</v>
      </c>
      <c r="C40" s="12" t="str">
        <f>'Risk Register'!R37</f>
        <v>Low</v>
      </c>
      <c r="D40" s="13" t="str">
        <f>'Risk Register'!V37</f>
        <v>CIS 8.4</v>
      </c>
      <c r="E40" s="13" t="str">
        <f>'Risk Register'!W37</f>
        <v>PR.PS-04</v>
      </c>
      <c r="F40" s="13" t="str">
        <f>'Risk Register'!X37</f>
        <v>A.8.17</v>
      </c>
      <c r="G40" s="13" t="str">
        <f>'Risk Register'!Y37</f>
        <v>Req. 10.6</v>
      </c>
      <c r="H40" s="13" t="str">
        <f>'Risk Register'!Z37</f>
        <v>n/a</v>
      </c>
    </row>
    <row r="41" ht="30.0" customHeight="1">
      <c r="A41" s="7" t="str">
        <f>'Risk Register'!A38</f>
        <v>R37</v>
      </c>
      <c r="B41" s="5" t="str">
        <f>'Risk Register'!C38</f>
        <v>X11 service listening</v>
      </c>
      <c r="C41" s="8" t="str">
        <f>'Risk Register'!R38</f>
        <v>Low</v>
      </c>
      <c r="D41" s="6" t="str">
        <f>'Risk Register'!V38</f>
        <v>CIS 4.1, 4.8</v>
      </c>
      <c r="E41" s="6" t="str">
        <f>'Risk Register'!W38</f>
        <v>PR.PS-01</v>
      </c>
      <c r="F41" s="6" t="str">
        <f>'Risk Register'!X38</f>
        <v>A.8.9</v>
      </c>
      <c r="G41" s="6" t="str">
        <f>'Risk Register'!Y38</f>
        <v>Req. 2.2.4</v>
      </c>
      <c r="H41" s="6" t="str">
        <f>'Risk Register'!Z38</f>
        <v>A05:2021 Security Misconfiguration</v>
      </c>
    </row>
    <row r="42" ht="30.0" customHeight="1">
      <c r="A42" s="10" t="str">
        <f>'Risk Register'!A39</f>
        <v>R38</v>
      </c>
      <c r="B42" s="11" t="str">
        <f>'Risk Register'!C39</f>
        <v>NetBIOS and RPC information disclosure</v>
      </c>
      <c r="C42" s="12" t="str">
        <f>'Risk Register'!R39</f>
        <v>Low</v>
      </c>
      <c r="D42" s="13" t="str">
        <f>'Risk Register'!V39</f>
        <v>CIS 16.7, 4.1</v>
      </c>
      <c r="E42" s="13" t="str">
        <f>'Risk Register'!W39</f>
        <v>PR.PS-01</v>
      </c>
      <c r="F42" s="13" t="str">
        <f>'Risk Register'!X39</f>
        <v>A.8.9</v>
      </c>
      <c r="G42" s="13" t="str">
        <f>'Risk Register'!Y39</f>
        <v>Req. 6.2.4</v>
      </c>
      <c r="H42" s="13" t="str">
        <f>'Risk Register'!Z39</f>
        <v>A05:2021 Security Misconfiguration (CWE-200)</v>
      </c>
    </row>
    <row r="43" ht="15.75" customHeight="1"/>
    <row r="44" ht="15.75" customHeight="1">
      <c r="A44" s="21" t="s">
        <v>387</v>
      </c>
    </row>
    <row r="45" ht="69.75" customHeight="1">
      <c r="A45" s="6"/>
      <c r="B45" s="5" t="s">
        <v>25</v>
      </c>
      <c r="C45" s="34" t="s">
        <v>388</v>
      </c>
      <c r="D45" s="35"/>
      <c r="E45" s="35"/>
      <c r="F45" s="35"/>
      <c r="G45" s="35"/>
      <c r="H45" s="36"/>
    </row>
    <row r="46" ht="42.0" customHeight="1">
      <c r="A46" s="6"/>
      <c r="B46" s="5" t="s">
        <v>27</v>
      </c>
      <c r="C46" s="34" t="s">
        <v>394</v>
      </c>
      <c r="D46" s="35"/>
      <c r="E46" s="35"/>
      <c r="F46" s="35"/>
      <c r="G46" s="35"/>
      <c r="H46" s="36"/>
    </row>
    <row r="47" ht="55.5" customHeight="1">
      <c r="A47" s="6"/>
      <c r="B47" s="5" t="s">
        <v>395</v>
      </c>
      <c r="C47" s="34" t="s">
        <v>396</v>
      </c>
      <c r="D47" s="35"/>
      <c r="E47" s="35"/>
      <c r="F47" s="35"/>
      <c r="G47" s="35"/>
      <c r="H47" s="36"/>
    </row>
    <row r="48" ht="55.5" customHeight="1">
      <c r="A48" s="6"/>
      <c r="B48" s="5" t="s">
        <v>402</v>
      </c>
      <c r="C48" s="34" t="s">
        <v>403</v>
      </c>
      <c r="D48" s="35"/>
      <c r="E48" s="35"/>
      <c r="F48" s="35"/>
      <c r="G48" s="35"/>
      <c r="H48" s="36"/>
    </row>
    <row r="49" ht="42.0" customHeight="1">
      <c r="A49" s="6"/>
      <c r="B49" s="5" t="s">
        <v>404</v>
      </c>
      <c r="C49" s="34" t="s">
        <v>405</v>
      </c>
      <c r="D49" s="35"/>
      <c r="E49" s="35"/>
      <c r="F49" s="35"/>
      <c r="G49" s="35"/>
      <c r="H49" s="36"/>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H$42"/>
  <mergeCells count="5">
    <mergeCell ref="C45:H45"/>
    <mergeCell ref="C46:H46"/>
    <mergeCell ref="C47:H47"/>
    <mergeCell ref="C48:H48"/>
    <mergeCell ref="C49:H49"/>
  </mergeCells>
  <conditionalFormatting sqref="C5:C42">
    <cfRule type="cellIs" dxfId="0" priority="1" operator="equal">
      <formula>"Critical"</formula>
    </cfRule>
  </conditionalFormatting>
  <conditionalFormatting sqref="C5:C42">
    <cfRule type="cellIs" dxfId="1" priority="2" operator="equal">
      <formula>"High"</formula>
    </cfRule>
  </conditionalFormatting>
  <conditionalFormatting sqref="C5:C42">
    <cfRule type="cellIs" dxfId="2" priority="3" operator="equal">
      <formula>"Medium"</formula>
    </cfRule>
  </conditionalFormatting>
  <conditionalFormatting sqref="C5:C42">
    <cfRule type="cellIs" dxfId="3" priority="4" operator="equal">
      <formula>"Low"</formula>
    </cfRule>
  </conditionalFormatting>
  <conditionalFormatting sqref="C5:C42">
    <cfRule type="cellIs" dxfId="4" priority="5" operator="equal">
      <formula>"Info"</formula>
    </cfRule>
  </conditionalFormatting>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347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7.0"/>
    <col customWidth="1" min="2" max="2" width="11.0"/>
    <col customWidth="1" min="3" max="3" width="34.0"/>
    <col customWidth="1" min="4" max="4" width="52.0"/>
    <col customWidth="1" min="5" max="5" width="26.0"/>
    <col customWidth="1" min="6" max="6" width="16.0"/>
    <col customWidth="1" min="7" max="7" width="15.0"/>
    <col customWidth="1" min="8" max="8" width="26.0"/>
    <col customWidth="1" min="9" max="9" width="20.0"/>
    <col customWidth="1" min="10" max="10" width="14.0"/>
    <col customWidth="1" min="11" max="11" width="55.0"/>
    <col customWidth="1" min="12" max="12" width="34.0"/>
    <col customWidth="1" min="13" max="13" width="11.0"/>
    <col customWidth="1" min="14" max="14" width="14.0"/>
    <col customWidth="1" min="15" max="15" width="9.0"/>
    <col customWidth="1" min="16" max="16" width="13.0"/>
    <col customWidth="1" min="17" max="17" width="10.0"/>
    <col customWidth="1" min="18" max="18" width="12.0"/>
    <col customWidth="1" min="19" max="19" width="10.0"/>
    <col customWidth="1" min="20" max="20" width="8.0"/>
    <col customWidth="1" min="21" max="21" width="40.0"/>
    <col customWidth="1" min="22" max="23" width="18.0"/>
    <col customWidth="1" min="24" max="24" width="14.0"/>
    <col customWidth="1" min="25" max="25" width="18.0"/>
    <col customWidth="1" min="26" max="26" width="28.0"/>
    <col customWidth="1" min="27" max="28" width="44.0"/>
    <col customWidth="1" min="29" max="29" width="36.0"/>
    <col customWidth="1" min="30" max="30" width="18.0"/>
    <col customWidth="1" min="31" max="31" width="11.0"/>
    <col customWidth="1" min="32" max="32" width="12.0"/>
    <col customWidth="1" min="33" max="33" width="14.0"/>
    <col customWidth="1" min="34" max="34" width="28.0"/>
  </cols>
  <sheetData>
    <row r="1" ht="43.5" customHeight="1">
      <c r="A1" s="2" t="s">
        <v>1</v>
      </c>
      <c r="B1" s="2" t="s">
        <v>3</v>
      </c>
      <c r="C1" s="2" t="s">
        <v>4</v>
      </c>
      <c r="D1" s="2" t="s">
        <v>5</v>
      </c>
      <c r="E1" s="2" t="s">
        <v>6</v>
      </c>
      <c r="F1" s="2" t="s">
        <v>7</v>
      </c>
      <c r="G1" s="2" t="s">
        <v>9</v>
      </c>
      <c r="H1" s="2" t="s">
        <v>10</v>
      </c>
      <c r="I1" s="2" t="s">
        <v>11</v>
      </c>
      <c r="J1" s="2" t="s">
        <v>12</v>
      </c>
      <c r="K1" s="2" t="s">
        <v>13</v>
      </c>
      <c r="L1" s="2" t="s">
        <v>15</v>
      </c>
      <c r="M1" s="2" t="s">
        <v>17</v>
      </c>
      <c r="N1" s="2" t="s">
        <v>18</v>
      </c>
      <c r="O1" s="2" t="s">
        <v>19</v>
      </c>
      <c r="P1" s="2" t="s">
        <v>21</v>
      </c>
      <c r="Q1" s="2" t="s">
        <v>22</v>
      </c>
      <c r="R1" s="2" t="s">
        <v>23</v>
      </c>
      <c r="S1" s="2" t="s">
        <v>24</v>
      </c>
      <c r="T1" s="2" t="s">
        <v>26</v>
      </c>
      <c r="U1" s="2" t="s">
        <v>28</v>
      </c>
      <c r="V1" s="2" t="s">
        <v>25</v>
      </c>
      <c r="W1" s="2" t="s">
        <v>27</v>
      </c>
      <c r="X1" s="2" t="s">
        <v>29</v>
      </c>
      <c r="Y1" s="2" t="s">
        <v>30</v>
      </c>
      <c r="Z1" s="2" t="s">
        <v>31</v>
      </c>
      <c r="AA1" s="2" t="s">
        <v>32</v>
      </c>
      <c r="AB1" s="2" t="s">
        <v>33</v>
      </c>
      <c r="AC1" s="2" t="s">
        <v>34</v>
      </c>
      <c r="AD1" s="2" t="s">
        <v>35</v>
      </c>
      <c r="AE1" s="2" t="s">
        <v>36</v>
      </c>
      <c r="AF1" s="2" t="s">
        <v>37</v>
      </c>
      <c r="AG1" s="2" t="s">
        <v>38</v>
      </c>
      <c r="AH1" s="2" t="s">
        <v>39</v>
      </c>
    </row>
    <row r="2" ht="78.0" customHeight="1">
      <c r="A2" s="5" t="s">
        <v>40</v>
      </c>
      <c r="B2" s="6" t="s">
        <v>40</v>
      </c>
      <c r="C2" s="5" t="s">
        <v>41</v>
      </c>
      <c r="D2" s="6" t="s">
        <v>42</v>
      </c>
      <c r="E2" s="6" t="s">
        <v>43</v>
      </c>
      <c r="F2" s="6" t="s">
        <v>44</v>
      </c>
      <c r="G2" s="6" t="s">
        <v>45</v>
      </c>
      <c r="H2" s="6" t="s">
        <v>46</v>
      </c>
      <c r="I2" s="6" t="s">
        <v>47</v>
      </c>
      <c r="J2" s="6" t="s">
        <v>48</v>
      </c>
      <c r="K2" s="6" t="s">
        <v>49</v>
      </c>
      <c r="L2" s="6" t="s">
        <v>50</v>
      </c>
      <c r="M2" s="9">
        <v>5.0</v>
      </c>
      <c r="N2" s="8" t="str">
        <f t="array" ref="N2">INDEX('Scoring &amp; Notes'!$B$18:$B$22,MATCH(M2,'Scoring &amp; Notes'!$A$18:$A$22,0))</f>
        <v>Almost certain</v>
      </c>
      <c r="O2" s="9">
        <v>5.0</v>
      </c>
      <c r="P2" s="8" t="str">
        <f t="array" ref="P2">INDEX('Scoring &amp; Notes'!$B$26:$B$30,MATCH(O2,'Scoring &amp; Notes'!$A$26:$A$30,0))</f>
        <v>Severe</v>
      </c>
      <c r="Q2" s="7">
        <f t="shared" ref="Q2:Q39" si="1">M2*O2</f>
        <v>25</v>
      </c>
      <c r="R2" s="7" t="str">
        <f>IF(Q2&gt;='Scoring &amp; Notes'!$B$34,'Scoring &amp; Notes'!$A$34,IF(Q2&gt;='Scoring &amp; Notes'!$B$35,'Scoring &amp; Notes'!$A$35,IF(Q2&gt;='Scoring &amp; Notes'!$B$36,'Scoring &amp; Notes'!$A$36,'Scoring &amp; Notes'!$A$37)))</f>
        <v>Critical</v>
      </c>
      <c r="S2" s="7" t="str">
        <f>IF(OR(R2='Scoring &amp; Notes'!$A$34,R2='Scoring &amp; Notes'!$A$35),"H",IF(R2='Scoring &amp; Notes'!$A$36,"M","L"))</f>
        <v>H</v>
      </c>
      <c r="T2" s="7" t="str">
        <f t="array" ref="T2">INDEX('Scoring &amp; Notes'!$D$34:$D$37,MATCH(R2,'Scoring &amp; Notes'!$A$34:$A$37,0))</f>
        <v>P1</v>
      </c>
      <c r="U2" s="6" t="s">
        <v>51</v>
      </c>
      <c r="V2" s="6" t="s">
        <v>52</v>
      </c>
      <c r="W2" s="6" t="s">
        <v>53</v>
      </c>
      <c r="X2" s="6" t="s">
        <v>54</v>
      </c>
      <c r="Y2" s="6" t="s">
        <v>55</v>
      </c>
      <c r="Z2" s="6" t="s">
        <v>56</v>
      </c>
      <c r="AA2" s="6" t="s">
        <v>57</v>
      </c>
      <c r="AB2" s="6" t="s">
        <v>58</v>
      </c>
      <c r="AC2" s="6" t="s">
        <v>59</v>
      </c>
      <c r="AD2" s="6" t="s">
        <v>60</v>
      </c>
      <c r="AE2" s="8">
        <f t="array" ref="AE2">INDEX('Scoring &amp; Notes'!$E$34:$E$37,MATCH(R2,'Scoring &amp; Notes'!$A$34:$A$37,0))</f>
        <v>7</v>
      </c>
      <c r="AF2" s="18">
        <f>'Scoring &amp; Notes'!$B$12+AE2</f>
        <v>46325</v>
      </c>
      <c r="AG2" s="8" t="s">
        <v>61</v>
      </c>
      <c r="AH2" s="6"/>
    </row>
    <row r="3" ht="51.75" customHeight="1">
      <c r="A3" s="11" t="s">
        <v>62</v>
      </c>
      <c r="B3" s="13" t="s">
        <v>63</v>
      </c>
      <c r="C3" s="11" t="s">
        <v>64</v>
      </c>
      <c r="D3" s="13" t="s">
        <v>65</v>
      </c>
      <c r="E3" s="13" t="s">
        <v>66</v>
      </c>
      <c r="F3" s="13" t="s">
        <v>67</v>
      </c>
      <c r="G3" s="13" t="s">
        <v>68</v>
      </c>
      <c r="H3" s="13" t="s">
        <v>69</v>
      </c>
      <c r="I3" s="13" t="s">
        <v>70</v>
      </c>
      <c r="J3" s="13" t="s">
        <v>71</v>
      </c>
      <c r="K3" s="13" t="s">
        <v>72</v>
      </c>
      <c r="L3" s="13" t="s">
        <v>73</v>
      </c>
      <c r="M3" s="19">
        <v>5.0</v>
      </c>
      <c r="N3" s="12" t="str">
        <f t="array" ref="N3">INDEX('Scoring &amp; Notes'!$B$18:$B$22,MATCH(M3,'Scoring &amp; Notes'!$A$18:$A$22,0))</f>
        <v>Almost certain</v>
      </c>
      <c r="O3" s="19">
        <v>5.0</v>
      </c>
      <c r="P3" s="12" t="str">
        <f t="array" ref="P3">INDEX('Scoring &amp; Notes'!$B$26:$B$30,MATCH(O3,'Scoring &amp; Notes'!$A$26:$A$30,0))</f>
        <v>Severe</v>
      </c>
      <c r="Q3" s="10">
        <f t="shared" si="1"/>
        <v>25</v>
      </c>
      <c r="R3" s="10" t="str">
        <f>IF(Q3&gt;='Scoring &amp; Notes'!$B$34,'Scoring &amp; Notes'!$A$34,IF(Q3&gt;='Scoring &amp; Notes'!$B$35,'Scoring &amp; Notes'!$A$35,IF(Q3&gt;='Scoring &amp; Notes'!$B$36,'Scoring &amp; Notes'!$A$36,'Scoring &amp; Notes'!$A$37)))</f>
        <v>Critical</v>
      </c>
      <c r="S3" s="10" t="str">
        <f>IF(OR(R3='Scoring &amp; Notes'!$A$34,R3='Scoring &amp; Notes'!$A$35),"H",IF(R3='Scoring &amp; Notes'!$A$36,"M","L"))</f>
        <v>H</v>
      </c>
      <c r="T3" s="10" t="str">
        <f t="array" ref="T3">INDEX('Scoring &amp; Notes'!$D$34:$D$37,MATCH(R3,'Scoring &amp; Notes'!$A$34:$A$37,0))</f>
        <v>P1</v>
      </c>
      <c r="U3" s="13" t="s">
        <v>74</v>
      </c>
      <c r="V3" s="13" t="s">
        <v>75</v>
      </c>
      <c r="W3" s="13" t="s">
        <v>76</v>
      </c>
      <c r="X3" s="13" t="s">
        <v>77</v>
      </c>
      <c r="Y3" s="13" t="s">
        <v>78</v>
      </c>
      <c r="Z3" s="13" t="s">
        <v>79</v>
      </c>
      <c r="AA3" s="13" t="s">
        <v>80</v>
      </c>
      <c r="AB3" s="13" t="s">
        <v>81</v>
      </c>
      <c r="AC3" s="13" t="s">
        <v>82</v>
      </c>
      <c r="AD3" s="13" t="s">
        <v>60</v>
      </c>
      <c r="AE3" s="12">
        <f t="array" ref="AE3">INDEX('Scoring &amp; Notes'!$E$34:$E$37,MATCH(R3,'Scoring &amp; Notes'!$A$34:$A$37,0))</f>
        <v>7</v>
      </c>
      <c r="AF3" s="20">
        <f>'Scoring &amp; Notes'!$B$12+AE3</f>
        <v>46325</v>
      </c>
      <c r="AG3" s="12" t="s">
        <v>61</v>
      </c>
      <c r="AH3" s="13"/>
    </row>
    <row r="4" ht="51.75" customHeight="1">
      <c r="A4" s="5" t="s">
        <v>83</v>
      </c>
      <c r="B4" s="6" t="s">
        <v>84</v>
      </c>
      <c r="C4" s="5" t="s">
        <v>85</v>
      </c>
      <c r="D4" s="6" t="s">
        <v>86</v>
      </c>
      <c r="E4" s="6" t="s">
        <v>87</v>
      </c>
      <c r="F4" s="6" t="s">
        <v>88</v>
      </c>
      <c r="G4" s="6" t="s">
        <v>45</v>
      </c>
      <c r="H4" s="6" t="s">
        <v>89</v>
      </c>
      <c r="I4" s="6" t="s">
        <v>70</v>
      </c>
      <c r="J4" s="6" t="s">
        <v>48</v>
      </c>
      <c r="K4" s="6" t="s">
        <v>90</v>
      </c>
      <c r="L4" s="6" t="s">
        <v>91</v>
      </c>
      <c r="M4" s="9">
        <v>5.0</v>
      </c>
      <c r="N4" s="8" t="str">
        <f t="array" ref="N4">INDEX('Scoring &amp; Notes'!$B$18:$B$22,MATCH(M4,'Scoring &amp; Notes'!$A$18:$A$22,0))</f>
        <v>Almost certain</v>
      </c>
      <c r="O4" s="9">
        <v>4.0</v>
      </c>
      <c r="P4" s="8" t="str">
        <f t="array" ref="P4">INDEX('Scoring &amp; Notes'!$B$26:$B$30,MATCH(O4,'Scoring &amp; Notes'!$A$26:$A$30,0))</f>
        <v>Major</v>
      </c>
      <c r="Q4" s="7">
        <f t="shared" si="1"/>
        <v>20</v>
      </c>
      <c r="R4" s="7" t="str">
        <f>IF(Q4&gt;='Scoring &amp; Notes'!$B$34,'Scoring &amp; Notes'!$A$34,IF(Q4&gt;='Scoring &amp; Notes'!$B$35,'Scoring &amp; Notes'!$A$35,IF(Q4&gt;='Scoring &amp; Notes'!$B$36,'Scoring &amp; Notes'!$A$36,'Scoring &amp; Notes'!$A$37)))</f>
        <v>Critical</v>
      </c>
      <c r="S4" s="7" t="str">
        <f>IF(OR(R4='Scoring &amp; Notes'!$A$34,R4='Scoring &amp; Notes'!$A$35),"H",IF(R4='Scoring &amp; Notes'!$A$36,"M","L"))</f>
        <v>H</v>
      </c>
      <c r="T4" s="7" t="str">
        <f t="array" ref="T4">INDEX('Scoring &amp; Notes'!$D$34:$D$37,MATCH(R4,'Scoring &amp; Notes'!$A$34:$A$37,0))</f>
        <v>P1</v>
      </c>
      <c r="U4" s="6" t="s">
        <v>92</v>
      </c>
      <c r="V4" s="6" t="s">
        <v>93</v>
      </c>
      <c r="W4" s="6" t="s">
        <v>94</v>
      </c>
      <c r="X4" s="6" t="s">
        <v>95</v>
      </c>
      <c r="Y4" s="6" t="s">
        <v>96</v>
      </c>
      <c r="Z4" s="6" t="s">
        <v>97</v>
      </c>
      <c r="AA4" s="6" t="s">
        <v>98</v>
      </c>
      <c r="AB4" s="6" t="s">
        <v>99</v>
      </c>
      <c r="AC4" s="6" t="s">
        <v>100</v>
      </c>
      <c r="AD4" s="6" t="s">
        <v>101</v>
      </c>
      <c r="AE4" s="8">
        <f t="array" ref="AE4">INDEX('Scoring &amp; Notes'!$E$34:$E$37,MATCH(R4,'Scoring &amp; Notes'!$A$34:$A$37,0))</f>
        <v>7</v>
      </c>
      <c r="AF4" s="18">
        <f>'Scoring &amp; Notes'!$B$12+AE4</f>
        <v>46325</v>
      </c>
      <c r="AG4" s="8" t="s">
        <v>61</v>
      </c>
      <c r="AH4" s="6"/>
    </row>
    <row r="5" ht="117.0" customHeight="1">
      <c r="A5" s="11" t="s">
        <v>102</v>
      </c>
      <c r="B5" s="13" t="s">
        <v>103</v>
      </c>
      <c r="C5" s="11" t="s">
        <v>104</v>
      </c>
      <c r="D5" s="13" t="s">
        <v>105</v>
      </c>
      <c r="E5" s="13" t="s">
        <v>106</v>
      </c>
      <c r="F5" s="13" t="s">
        <v>107</v>
      </c>
      <c r="G5" s="13" t="s">
        <v>45</v>
      </c>
      <c r="H5" s="13" t="s">
        <v>108</v>
      </c>
      <c r="I5" s="13" t="s">
        <v>109</v>
      </c>
      <c r="J5" s="13" t="s">
        <v>48</v>
      </c>
      <c r="K5" s="13" t="s">
        <v>110</v>
      </c>
      <c r="L5" s="13" t="s">
        <v>111</v>
      </c>
      <c r="M5" s="19">
        <v>5.0</v>
      </c>
      <c r="N5" s="12" t="str">
        <f t="array" ref="N5">INDEX('Scoring &amp; Notes'!$B$18:$B$22,MATCH(M5,'Scoring &amp; Notes'!$A$18:$A$22,0))</f>
        <v>Almost certain</v>
      </c>
      <c r="O5" s="19">
        <v>4.0</v>
      </c>
      <c r="P5" s="12" t="str">
        <f t="array" ref="P5">INDEX('Scoring &amp; Notes'!$B$26:$B$30,MATCH(O5,'Scoring &amp; Notes'!$A$26:$A$30,0))</f>
        <v>Major</v>
      </c>
      <c r="Q5" s="10">
        <f t="shared" si="1"/>
        <v>20</v>
      </c>
      <c r="R5" s="10" t="str">
        <f>IF(Q5&gt;='Scoring &amp; Notes'!$B$34,'Scoring &amp; Notes'!$A$34,IF(Q5&gt;='Scoring &amp; Notes'!$B$35,'Scoring &amp; Notes'!$A$35,IF(Q5&gt;='Scoring &amp; Notes'!$B$36,'Scoring &amp; Notes'!$A$36,'Scoring &amp; Notes'!$A$37)))</f>
        <v>Critical</v>
      </c>
      <c r="S5" s="10" t="str">
        <f>IF(OR(R5='Scoring &amp; Notes'!$A$34,R5='Scoring &amp; Notes'!$A$35),"H",IF(R5='Scoring &amp; Notes'!$A$36,"M","L"))</f>
        <v>H</v>
      </c>
      <c r="T5" s="10" t="str">
        <f t="array" ref="T5">INDEX('Scoring &amp; Notes'!$D$34:$D$37,MATCH(R5,'Scoring &amp; Notes'!$A$34:$A$37,0))</f>
        <v>P1</v>
      </c>
      <c r="U5" s="13" t="s">
        <v>120</v>
      </c>
      <c r="V5" s="13" t="s">
        <v>52</v>
      </c>
      <c r="W5" s="13" t="s">
        <v>53</v>
      </c>
      <c r="X5" s="13" t="s">
        <v>54</v>
      </c>
      <c r="Y5" s="13" t="s">
        <v>55</v>
      </c>
      <c r="Z5" s="13" t="s">
        <v>56</v>
      </c>
      <c r="AA5" s="13" t="s">
        <v>121</v>
      </c>
      <c r="AB5" s="13" t="s">
        <v>122</v>
      </c>
      <c r="AC5" s="13" t="s">
        <v>123</v>
      </c>
      <c r="AD5" s="13" t="s">
        <v>124</v>
      </c>
      <c r="AE5" s="12">
        <f t="array" ref="AE5">INDEX('Scoring &amp; Notes'!$E$34:$E$37,MATCH(R5,'Scoring &amp; Notes'!$A$34:$A$37,0))</f>
        <v>7</v>
      </c>
      <c r="AF5" s="20">
        <f>'Scoring &amp; Notes'!$B$12+AE5</f>
        <v>46325</v>
      </c>
      <c r="AG5" s="12" t="s">
        <v>61</v>
      </c>
      <c r="AH5" s="13"/>
    </row>
    <row r="6" ht="51.75" customHeight="1">
      <c r="A6" s="5" t="s">
        <v>127</v>
      </c>
      <c r="B6" s="6" t="s">
        <v>103</v>
      </c>
      <c r="C6" s="5" t="s">
        <v>128</v>
      </c>
      <c r="D6" s="6" t="s">
        <v>129</v>
      </c>
      <c r="E6" s="6" t="s">
        <v>130</v>
      </c>
      <c r="F6" s="6" t="s">
        <v>131</v>
      </c>
      <c r="G6" s="6" t="s">
        <v>45</v>
      </c>
      <c r="H6" s="6" t="s">
        <v>132</v>
      </c>
      <c r="I6" s="6" t="s">
        <v>133</v>
      </c>
      <c r="J6" s="6" t="s">
        <v>134</v>
      </c>
      <c r="K6" s="6" t="s">
        <v>135</v>
      </c>
      <c r="L6" s="6" t="s">
        <v>136</v>
      </c>
      <c r="M6" s="9">
        <v>5.0</v>
      </c>
      <c r="N6" s="8" t="str">
        <f t="array" ref="N6">INDEX('Scoring &amp; Notes'!$B$18:$B$22,MATCH(M6,'Scoring &amp; Notes'!$A$18:$A$22,0))</f>
        <v>Almost certain</v>
      </c>
      <c r="O6" s="9">
        <v>4.0</v>
      </c>
      <c r="P6" s="8" t="str">
        <f t="array" ref="P6">INDEX('Scoring &amp; Notes'!$B$26:$B$30,MATCH(O6,'Scoring &amp; Notes'!$A$26:$A$30,0))</f>
        <v>Major</v>
      </c>
      <c r="Q6" s="7">
        <f t="shared" si="1"/>
        <v>20</v>
      </c>
      <c r="R6" s="7" t="str">
        <f>IF(Q6&gt;='Scoring &amp; Notes'!$B$34,'Scoring &amp; Notes'!$A$34,IF(Q6&gt;='Scoring &amp; Notes'!$B$35,'Scoring &amp; Notes'!$A$35,IF(Q6&gt;='Scoring &amp; Notes'!$B$36,'Scoring &amp; Notes'!$A$36,'Scoring &amp; Notes'!$A$37)))</f>
        <v>Critical</v>
      </c>
      <c r="S6" s="7" t="str">
        <f>IF(OR(R6='Scoring &amp; Notes'!$A$34,R6='Scoring &amp; Notes'!$A$35),"H",IF(R6='Scoring &amp; Notes'!$A$36,"M","L"))</f>
        <v>H</v>
      </c>
      <c r="T6" s="7" t="str">
        <f t="array" ref="T6">INDEX('Scoring &amp; Notes'!$D$34:$D$37,MATCH(R6,'Scoring &amp; Notes'!$A$34:$A$37,0))</f>
        <v>P1</v>
      </c>
      <c r="U6" s="6" t="s">
        <v>142</v>
      </c>
      <c r="V6" s="6" t="s">
        <v>75</v>
      </c>
      <c r="W6" s="6" t="s">
        <v>76</v>
      </c>
      <c r="X6" s="6" t="s">
        <v>77</v>
      </c>
      <c r="Y6" s="6" t="s">
        <v>78</v>
      </c>
      <c r="Z6" s="6" t="s">
        <v>79</v>
      </c>
      <c r="AA6" s="6" t="s">
        <v>143</v>
      </c>
      <c r="AB6" s="6" t="s">
        <v>144</v>
      </c>
      <c r="AC6" s="6" t="s">
        <v>145</v>
      </c>
      <c r="AD6" s="6" t="s">
        <v>60</v>
      </c>
      <c r="AE6" s="8">
        <f t="array" ref="AE6">INDEX('Scoring &amp; Notes'!$E$34:$E$37,MATCH(R6,'Scoring &amp; Notes'!$A$34:$A$37,0))</f>
        <v>7</v>
      </c>
      <c r="AF6" s="18">
        <f>'Scoring &amp; Notes'!$B$12+AE6</f>
        <v>46325</v>
      </c>
      <c r="AG6" s="8" t="s">
        <v>61</v>
      </c>
      <c r="AH6" s="6"/>
    </row>
    <row r="7" ht="51.75" customHeight="1">
      <c r="A7" s="11" t="s">
        <v>147</v>
      </c>
      <c r="B7" s="13" t="s">
        <v>103</v>
      </c>
      <c r="C7" s="11" t="s">
        <v>148</v>
      </c>
      <c r="D7" s="13" t="s">
        <v>149</v>
      </c>
      <c r="E7" s="13" t="s">
        <v>150</v>
      </c>
      <c r="F7" s="13" t="s">
        <v>151</v>
      </c>
      <c r="G7" s="13" t="s">
        <v>45</v>
      </c>
      <c r="H7" s="13" t="s">
        <v>152</v>
      </c>
      <c r="I7" s="13" t="s">
        <v>70</v>
      </c>
      <c r="J7" s="13" t="s">
        <v>134</v>
      </c>
      <c r="K7" s="13" t="s">
        <v>153</v>
      </c>
      <c r="L7" s="13" t="s">
        <v>154</v>
      </c>
      <c r="M7" s="19">
        <v>5.0</v>
      </c>
      <c r="N7" s="12" t="str">
        <f t="array" ref="N7">INDEX('Scoring &amp; Notes'!$B$18:$B$22,MATCH(M7,'Scoring &amp; Notes'!$A$18:$A$22,0))</f>
        <v>Almost certain</v>
      </c>
      <c r="O7" s="19">
        <v>4.0</v>
      </c>
      <c r="P7" s="12" t="str">
        <f t="array" ref="P7">INDEX('Scoring &amp; Notes'!$B$26:$B$30,MATCH(O7,'Scoring &amp; Notes'!$A$26:$A$30,0))</f>
        <v>Major</v>
      </c>
      <c r="Q7" s="10">
        <f t="shared" si="1"/>
        <v>20</v>
      </c>
      <c r="R7" s="10" t="str">
        <f>IF(Q7&gt;='Scoring &amp; Notes'!$B$34,'Scoring &amp; Notes'!$A$34,IF(Q7&gt;='Scoring &amp; Notes'!$B$35,'Scoring &amp; Notes'!$A$35,IF(Q7&gt;='Scoring &amp; Notes'!$B$36,'Scoring &amp; Notes'!$A$36,'Scoring &amp; Notes'!$A$37)))</f>
        <v>Critical</v>
      </c>
      <c r="S7" s="10" t="str">
        <f>IF(OR(R7='Scoring &amp; Notes'!$A$34,R7='Scoring &amp; Notes'!$A$35),"H",IF(R7='Scoring &amp; Notes'!$A$36,"M","L"))</f>
        <v>H</v>
      </c>
      <c r="T7" s="10" t="str">
        <f t="array" ref="T7">INDEX('Scoring &amp; Notes'!$D$34:$D$37,MATCH(R7,'Scoring &amp; Notes'!$A$34:$A$37,0))</f>
        <v>P1</v>
      </c>
      <c r="U7" s="13" t="s">
        <v>164</v>
      </c>
      <c r="V7" s="13" t="s">
        <v>93</v>
      </c>
      <c r="W7" s="13" t="s">
        <v>94</v>
      </c>
      <c r="X7" s="13" t="s">
        <v>95</v>
      </c>
      <c r="Y7" s="13" t="s">
        <v>96</v>
      </c>
      <c r="Z7" s="13" t="s">
        <v>97</v>
      </c>
      <c r="AA7" s="13" t="s">
        <v>165</v>
      </c>
      <c r="AB7" s="13" t="s">
        <v>166</v>
      </c>
      <c r="AC7" s="13" t="s">
        <v>167</v>
      </c>
      <c r="AD7" s="13" t="s">
        <v>60</v>
      </c>
      <c r="AE7" s="12">
        <f t="array" ref="AE7">INDEX('Scoring &amp; Notes'!$E$34:$E$37,MATCH(R7,'Scoring &amp; Notes'!$A$34:$A$37,0))</f>
        <v>7</v>
      </c>
      <c r="AF7" s="20">
        <f>'Scoring &amp; Notes'!$B$12+AE7</f>
        <v>46325</v>
      </c>
      <c r="AG7" s="12" t="s">
        <v>61</v>
      </c>
      <c r="AH7" s="13"/>
    </row>
    <row r="8" ht="51.75" customHeight="1">
      <c r="A8" s="5" t="s">
        <v>63</v>
      </c>
      <c r="B8" s="6" t="s">
        <v>103</v>
      </c>
      <c r="C8" s="5" t="s">
        <v>169</v>
      </c>
      <c r="D8" s="6" t="s">
        <v>170</v>
      </c>
      <c r="E8" s="6" t="s">
        <v>171</v>
      </c>
      <c r="F8" s="6" t="s">
        <v>172</v>
      </c>
      <c r="G8" s="6" t="s">
        <v>68</v>
      </c>
      <c r="H8" s="6" t="s">
        <v>173</v>
      </c>
      <c r="I8" s="6" t="s">
        <v>174</v>
      </c>
      <c r="J8" s="6" t="s">
        <v>175</v>
      </c>
      <c r="K8" s="6" t="s">
        <v>176</v>
      </c>
      <c r="L8" s="6" t="s">
        <v>177</v>
      </c>
      <c r="M8" s="9">
        <v>3.0</v>
      </c>
      <c r="N8" s="8" t="str">
        <f t="array" ref="N8">INDEX('Scoring &amp; Notes'!$B$18:$B$22,MATCH(M8,'Scoring &amp; Notes'!$A$18:$A$22,0))</f>
        <v>Possible</v>
      </c>
      <c r="O8" s="9">
        <v>5.0</v>
      </c>
      <c r="P8" s="8" t="str">
        <f t="array" ref="P8">INDEX('Scoring &amp; Notes'!$B$26:$B$30,MATCH(O8,'Scoring &amp; Notes'!$A$26:$A$30,0))</f>
        <v>Severe</v>
      </c>
      <c r="Q8" s="7">
        <f t="shared" si="1"/>
        <v>15</v>
      </c>
      <c r="R8" s="7" t="str">
        <f>IF(Q8&gt;='Scoring &amp; Notes'!$B$34,'Scoring &amp; Notes'!$A$34,IF(Q8&gt;='Scoring &amp; Notes'!$B$35,'Scoring &amp; Notes'!$A$35,IF(Q8&gt;='Scoring &amp; Notes'!$B$36,'Scoring &amp; Notes'!$A$36,'Scoring &amp; Notes'!$A$37)))</f>
        <v>High</v>
      </c>
      <c r="S8" s="7" t="str">
        <f>IF(OR(R8='Scoring &amp; Notes'!$A$34,R8='Scoring &amp; Notes'!$A$35),"H",IF(R8='Scoring &amp; Notes'!$A$36,"M","L"))</f>
        <v>H</v>
      </c>
      <c r="T8" s="7" t="str">
        <f t="array" ref="T8">INDEX('Scoring &amp; Notes'!$D$34:$D$37,MATCH(R8,'Scoring &amp; Notes'!$A$34:$A$37,0))</f>
        <v>P2</v>
      </c>
      <c r="U8" s="6" t="s">
        <v>184</v>
      </c>
      <c r="V8" s="6" t="s">
        <v>52</v>
      </c>
      <c r="W8" s="6" t="s">
        <v>53</v>
      </c>
      <c r="X8" s="6" t="s">
        <v>54</v>
      </c>
      <c r="Y8" s="6" t="s">
        <v>55</v>
      </c>
      <c r="Z8" s="6" t="s">
        <v>56</v>
      </c>
      <c r="AA8" s="6" t="s">
        <v>185</v>
      </c>
      <c r="AB8" s="6" t="s">
        <v>186</v>
      </c>
      <c r="AC8" s="6" t="s">
        <v>187</v>
      </c>
      <c r="AD8" s="6" t="s">
        <v>60</v>
      </c>
      <c r="AE8" s="8">
        <f t="array" ref="AE8">INDEX('Scoring &amp; Notes'!$E$34:$E$37,MATCH(R8,'Scoring &amp; Notes'!$A$34:$A$37,0))</f>
        <v>30</v>
      </c>
      <c r="AF8" s="18">
        <f>'Scoring &amp; Notes'!$B$12+AE8</f>
        <v>46348</v>
      </c>
      <c r="AG8" s="8" t="s">
        <v>61</v>
      </c>
      <c r="AH8" s="6"/>
    </row>
    <row r="9" ht="39.0" customHeight="1">
      <c r="A9" s="11" t="s">
        <v>190</v>
      </c>
      <c r="B9" s="13" t="s">
        <v>83</v>
      </c>
      <c r="C9" s="11" t="s">
        <v>191</v>
      </c>
      <c r="D9" s="13" t="s">
        <v>192</v>
      </c>
      <c r="E9" s="13" t="s">
        <v>193</v>
      </c>
      <c r="F9" s="13" t="s">
        <v>194</v>
      </c>
      <c r="G9" s="13" t="s">
        <v>68</v>
      </c>
      <c r="H9" s="13" t="s">
        <v>195</v>
      </c>
      <c r="I9" s="13" t="s">
        <v>70</v>
      </c>
      <c r="J9" s="13" t="s">
        <v>71</v>
      </c>
      <c r="K9" s="13" t="s">
        <v>197</v>
      </c>
      <c r="L9" s="13" t="s">
        <v>198</v>
      </c>
      <c r="M9" s="19">
        <v>4.0</v>
      </c>
      <c r="N9" s="12" t="str">
        <f t="array" ref="N9">INDEX('Scoring &amp; Notes'!$B$18:$B$22,MATCH(M9,'Scoring &amp; Notes'!$A$18:$A$22,0))</f>
        <v>Likely</v>
      </c>
      <c r="O9" s="19">
        <v>4.0</v>
      </c>
      <c r="P9" s="12" t="str">
        <f t="array" ref="P9">INDEX('Scoring &amp; Notes'!$B$26:$B$30,MATCH(O9,'Scoring &amp; Notes'!$A$26:$A$30,0))</f>
        <v>Major</v>
      </c>
      <c r="Q9" s="10">
        <f t="shared" si="1"/>
        <v>16</v>
      </c>
      <c r="R9" s="10" t="str">
        <f>IF(Q9&gt;='Scoring &amp; Notes'!$B$34,'Scoring &amp; Notes'!$A$34,IF(Q9&gt;='Scoring &amp; Notes'!$B$35,'Scoring &amp; Notes'!$A$35,IF(Q9&gt;='Scoring &amp; Notes'!$B$36,'Scoring &amp; Notes'!$A$36,'Scoring &amp; Notes'!$A$37)))</f>
        <v>High</v>
      </c>
      <c r="S9" s="10" t="str">
        <f>IF(OR(R9='Scoring &amp; Notes'!$A$34,R9='Scoring &amp; Notes'!$A$35),"H",IF(R9='Scoring &amp; Notes'!$A$36,"M","L"))</f>
        <v>H</v>
      </c>
      <c r="T9" s="10" t="str">
        <f t="array" ref="T9">INDEX('Scoring &amp; Notes'!$D$34:$D$37,MATCH(R9,'Scoring &amp; Notes'!$A$34:$A$37,0))</f>
        <v>P2</v>
      </c>
      <c r="U9" s="13" t="s">
        <v>200</v>
      </c>
      <c r="V9" s="13" t="s">
        <v>201</v>
      </c>
      <c r="W9" s="13" t="s">
        <v>202</v>
      </c>
      <c r="X9" s="13" t="s">
        <v>203</v>
      </c>
      <c r="Y9" s="13" t="s">
        <v>204</v>
      </c>
      <c r="Z9" s="13" t="s">
        <v>205</v>
      </c>
      <c r="AA9" s="13" t="s">
        <v>206</v>
      </c>
      <c r="AB9" s="13" t="s">
        <v>207</v>
      </c>
      <c r="AC9" s="13" t="s">
        <v>208</v>
      </c>
      <c r="AD9" s="13" t="s">
        <v>60</v>
      </c>
      <c r="AE9" s="12">
        <f t="array" ref="AE9">INDEX('Scoring &amp; Notes'!$E$34:$E$37,MATCH(R9,'Scoring &amp; Notes'!$A$34:$A$37,0))</f>
        <v>30</v>
      </c>
      <c r="AF9" s="20">
        <f>'Scoring &amp; Notes'!$B$12+AE9</f>
        <v>46348</v>
      </c>
      <c r="AG9" s="12" t="s">
        <v>61</v>
      </c>
      <c r="AH9" s="13"/>
    </row>
    <row r="10" ht="39.0" customHeight="1">
      <c r="A10" s="5" t="s">
        <v>209</v>
      </c>
      <c r="B10" s="6" t="s">
        <v>103</v>
      </c>
      <c r="C10" s="5" t="s">
        <v>210</v>
      </c>
      <c r="D10" s="6" t="s">
        <v>211</v>
      </c>
      <c r="E10" s="6" t="s">
        <v>212</v>
      </c>
      <c r="F10" s="6" t="s">
        <v>213</v>
      </c>
      <c r="G10" s="6" t="s">
        <v>68</v>
      </c>
      <c r="H10" s="6" t="s">
        <v>214</v>
      </c>
      <c r="I10" s="6" t="s">
        <v>70</v>
      </c>
      <c r="J10" s="6" t="s">
        <v>71</v>
      </c>
      <c r="K10" s="6" t="s">
        <v>216</v>
      </c>
      <c r="L10" s="6" t="s">
        <v>198</v>
      </c>
      <c r="M10" s="9">
        <v>4.0</v>
      </c>
      <c r="N10" s="8" t="str">
        <f t="array" ref="N10">INDEX('Scoring &amp; Notes'!$B$18:$B$22,MATCH(M10,'Scoring &amp; Notes'!$A$18:$A$22,0))</f>
        <v>Likely</v>
      </c>
      <c r="O10" s="9">
        <v>4.0</v>
      </c>
      <c r="P10" s="8" t="str">
        <f t="array" ref="P10">INDEX('Scoring &amp; Notes'!$B$26:$B$30,MATCH(O10,'Scoring &amp; Notes'!$A$26:$A$30,0))</f>
        <v>Major</v>
      </c>
      <c r="Q10" s="7">
        <f t="shared" si="1"/>
        <v>16</v>
      </c>
      <c r="R10" s="7" t="str">
        <f>IF(Q10&gt;='Scoring &amp; Notes'!$B$34,'Scoring &amp; Notes'!$A$34,IF(Q10&gt;='Scoring &amp; Notes'!$B$35,'Scoring &amp; Notes'!$A$35,IF(Q10&gt;='Scoring &amp; Notes'!$B$36,'Scoring &amp; Notes'!$A$36,'Scoring &amp; Notes'!$A$37)))</f>
        <v>High</v>
      </c>
      <c r="S10" s="7" t="str">
        <f>IF(OR(R10='Scoring &amp; Notes'!$A$34,R10='Scoring &amp; Notes'!$A$35),"H",IF(R10='Scoring &amp; Notes'!$A$36,"M","L"))</f>
        <v>H</v>
      </c>
      <c r="T10" s="7" t="str">
        <f t="array" ref="T10">INDEX('Scoring &amp; Notes'!$D$34:$D$37,MATCH(R10,'Scoring &amp; Notes'!$A$34:$A$37,0))</f>
        <v>P2</v>
      </c>
      <c r="U10" s="6" t="s">
        <v>231</v>
      </c>
      <c r="V10" s="6" t="s">
        <v>201</v>
      </c>
      <c r="W10" s="6" t="s">
        <v>202</v>
      </c>
      <c r="X10" s="6" t="s">
        <v>203</v>
      </c>
      <c r="Y10" s="6" t="s">
        <v>204</v>
      </c>
      <c r="Z10" s="6" t="s">
        <v>205</v>
      </c>
      <c r="AA10" s="6" t="s">
        <v>232</v>
      </c>
      <c r="AB10" s="6" t="s">
        <v>233</v>
      </c>
      <c r="AC10" s="6" t="s">
        <v>234</v>
      </c>
      <c r="AD10" s="6" t="s">
        <v>60</v>
      </c>
      <c r="AE10" s="8">
        <f t="array" ref="AE10">INDEX('Scoring &amp; Notes'!$E$34:$E$37,MATCH(R10,'Scoring &amp; Notes'!$A$34:$A$37,0))</f>
        <v>30</v>
      </c>
      <c r="AF10" s="18">
        <f>'Scoring &amp; Notes'!$B$12+AE10</f>
        <v>46348</v>
      </c>
      <c r="AG10" s="8" t="s">
        <v>61</v>
      </c>
      <c r="AH10" s="6"/>
    </row>
    <row r="11" ht="78.0" customHeight="1">
      <c r="A11" s="11" t="s">
        <v>245</v>
      </c>
      <c r="B11" s="13" t="s">
        <v>62</v>
      </c>
      <c r="C11" s="11" t="s">
        <v>248</v>
      </c>
      <c r="D11" s="13" t="s">
        <v>250</v>
      </c>
      <c r="E11" s="13" t="s">
        <v>43</v>
      </c>
      <c r="F11" s="13" t="s">
        <v>252</v>
      </c>
      <c r="G11" s="13" t="s">
        <v>45</v>
      </c>
      <c r="H11" s="13" t="s">
        <v>253</v>
      </c>
      <c r="I11" s="13" t="s">
        <v>70</v>
      </c>
      <c r="J11" s="13" t="s">
        <v>255</v>
      </c>
      <c r="K11" s="13" t="s">
        <v>257</v>
      </c>
      <c r="L11" s="13" t="s">
        <v>259</v>
      </c>
      <c r="M11" s="19">
        <v>5.0</v>
      </c>
      <c r="N11" s="12" t="str">
        <f t="array" ref="N11">INDEX('Scoring &amp; Notes'!$B$18:$B$22,MATCH(M11,'Scoring &amp; Notes'!$A$18:$A$22,0))</f>
        <v>Almost certain</v>
      </c>
      <c r="O11" s="19">
        <v>3.0</v>
      </c>
      <c r="P11" s="12" t="str">
        <f t="array" ref="P11">INDEX('Scoring &amp; Notes'!$B$26:$B$30,MATCH(O11,'Scoring &amp; Notes'!$A$26:$A$30,0))</f>
        <v>Moderate</v>
      </c>
      <c r="Q11" s="10">
        <f t="shared" si="1"/>
        <v>15</v>
      </c>
      <c r="R11" s="10" t="str">
        <f>IF(Q11&gt;='Scoring &amp; Notes'!$B$34,'Scoring &amp; Notes'!$A$34,IF(Q11&gt;='Scoring &amp; Notes'!$B$35,'Scoring &amp; Notes'!$A$35,IF(Q11&gt;='Scoring &amp; Notes'!$B$36,'Scoring &amp; Notes'!$A$36,'Scoring &amp; Notes'!$A$37)))</f>
        <v>High</v>
      </c>
      <c r="S11" s="10" t="str">
        <f>IF(OR(R11='Scoring &amp; Notes'!$A$34,R11='Scoring &amp; Notes'!$A$35),"H",IF(R11='Scoring &amp; Notes'!$A$36,"M","L"))</f>
        <v>H</v>
      </c>
      <c r="T11" s="10" t="str">
        <f t="array" ref="T11">INDEX('Scoring &amp; Notes'!$D$34:$D$37,MATCH(R11,'Scoring &amp; Notes'!$A$34:$A$37,0))</f>
        <v>P2</v>
      </c>
      <c r="U11" s="13" t="s">
        <v>311</v>
      </c>
      <c r="V11" s="13" t="s">
        <v>93</v>
      </c>
      <c r="W11" s="13" t="s">
        <v>94</v>
      </c>
      <c r="X11" s="13" t="s">
        <v>95</v>
      </c>
      <c r="Y11" s="13" t="s">
        <v>96</v>
      </c>
      <c r="Z11" s="13" t="s">
        <v>97</v>
      </c>
      <c r="AA11" s="13" t="s">
        <v>313</v>
      </c>
      <c r="AB11" s="13" t="s">
        <v>314</v>
      </c>
      <c r="AC11" s="13" t="s">
        <v>316</v>
      </c>
      <c r="AD11" s="13" t="s">
        <v>60</v>
      </c>
      <c r="AE11" s="12">
        <f t="array" ref="AE11">INDEX('Scoring &amp; Notes'!$E$34:$E$37,MATCH(R11,'Scoring &amp; Notes'!$A$34:$A$37,0))</f>
        <v>30</v>
      </c>
      <c r="AF11" s="20">
        <f>'Scoring &amp; Notes'!$B$12+AE11</f>
        <v>46348</v>
      </c>
      <c r="AG11" s="12" t="s">
        <v>61</v>
      </c>
      <c r="AH11" s="13"/>
    </row>
    <row r="12" ht="90.75" customHeight="1">
      <c r="A12" s="5" t="s">
        <v>326</v>
      </c>
      <c r="B12" s="6" t="s">
        <v>328</v>
      </c>
      <c r="C12" s="5" t="s">
        <v>329</v>
      </c>
      <c r="D12" s="6" t="s">
        <v>330</v>
      </c>
      <c r="E12" s="6" t="s">
        <v>331</v>
      </c>
      <c r="F12" s="6" t="s">
        <v>332</v>
      </c>
      <c r="G12" s="6" t="s">
        <v>45</v>
      </c>
      <c r="H12" s="6" t="s">
        <v>334</v>
      </c>
      <c r="I12" s="6" t="s">
        <v>336</v>
      </c>
      <c r="J12" s="6" t="s">
        <v>48</v>
      </c>
      <c r="K12" s="6" t="s">
        <v>338</v>
      </c>
      <c r="L12" s="6" t="s">
        <v>339</v>
      </c>
      <c r="M12" s="9">
        <v>3.0</v>
      </c>
      <c r="N12" s="8" t="str">
        <f t="array" ref="N12">INDEX('Scoring &amp; Notes'!$B$18:$B$22,MATCH(M12,'Scoring &amp; Notes'!$A$18:$A$22,0))</f>
        <v>Possible</v>
      </c>
      <c r="O12" s="9">
        <v>5.0</v>
      </c>
      <c r="P12" s="8" t="str">
        <f t="array" ref="P12">INDEX('Scoring &amp; Notes'!$B$26:$B$30,MATCH(O12,'Scoring &amp; Notes'!$A$26:$A$30,0))</f>
        <v>Severe</v>
      </c>
      <c r="Q12" s="7">
        <f t="shared" si="1"/>
        <v>15</v>
      </c>
      <c r="R12" s="7" t="str">
        <f>IF(Q12&gt;='Scoring &amp; Notes'!$B$34,'Scoring &amp; Notes'!$A$34,IF(Q12&gt;='Scoring &amp; Notes'!$B$35,'Scoring &amp; Notes'!$A$35,IF(Q12&gt;='Scoring &amp; Notes'!$B$36,'Scoring &amp; Notes'!$A$36,'Scoring &amp; Notes'!$A$37)))</f>
        <v>High</v>
      </c>
      <c r="S12" s="7" t="str">
        <f>IF(OR(R12='Scoring &amp; Notes'!$A$34,R12='Scoring &amp; Notes'!$A$35),"H",IF(R12='Scoring &amp; Notes'!$A$36,"M","L"))</f>
        <v>H</v>
      </c>
      <c r="T12" s="7" t="str">
        <f t="array" ref="T12">INDEX('Scoring &amp; Notes'!$D$34:$D$37,MATCH(R12,'Scoring &amp; Notes'!$A$34:$A$37,0))</f>
        <v>P2</v>
      </c>
      <c r="U12" s="6" t="s">
        <v>346</v>
      </c>
      <c r="V12" s="6" t="s">
        <v>52</v>
      </c>
      <c r="W12" s="6" t="s">
        <v>53</v>
      </c>
      <c r="X12" s="6" t="s">
        <v>54</v>
      </c>
      <c r="Y12" s="6" t="s">
        <v>55</v>
      </c>
      <c r="Z12" s="6" t="s">
        <v>56</v>
      </c>
      <c r="AA12" s="6" t="s">
        <v>347</v>
      </c>
      <c r="AB12" s="6" t="s">
        <v>348</v>
      </c>
      <c r="AC12" s="6" t="s">
        <v>349</v>
      </c>
      <c r="AD12" s="6" t="s">
        <v>60</v>
      </c>
      <c r="AE12" s="8">
        <f t="array" ref="AE12">INDEX('Scoring &amp; Notes'!$E$34:$E$37,MATCH(R12,'Scoring &amp; Notes'!$A$34:$A$37,0))</f>
        <v>30</v>
      </c>
      <c r="AF12" s="18">
        <f>'Scoring &amp; Notes'!$B$12+AE12</f>
        <v>46348</v>
      </c>
      <c r="AG12" s="8" t="s">
        <v>61</v>
      </c>
      <c r="AH12" s="6"/>
    </row>
    <row r="13" ht="64.5" customHeight="1">
      <c r="A13" s="11" t="s">
        <v>268</v>
      </c>
      <c r="B13" s="13" t="s">
        <v>328</v>
      </c>
      <c r="C13" s="11" t="s">
        <v>350</v>
      </c>
      <c r="D13" s="13" t="s">
        <v>351</v>
      </c>
      <c r="E13" s="13" t="s">
        <v>331</v>
      </c>
      <c r="F13" s="13" t="s">
        <v>352</v>
      </c>
      <c r="G13" s="13" t="s">
        <v>45</v>
      </c>
      <c r="H13" s="13" t="s">
        <v>353</v>
      </c>
      <c r="I13" s="13" t="s">
        <v>70</v>
      </c>
      <c r="J13" s="13" t="s">
        <v>156</v>
      </c>
      <c r="K13" s="13" t="s">
        <v>354</v>
      </c>
      <c r="L13" s="13" t="s">
        <v>355</v>
      </c>
      <c r="M13" s="19">
        <v>4.0</v>
      </c>
      <c r="N13" s="12" t="str">
        <f t="array" ref="N13">INDEX('Scoring &amp; Notes'!$B$18:$B$22,MATCH(M13,'Scoring &amp; Notes'!$A$18:$A$22,0))</f>
        <v>Likely</v>
      </c>
      <c r="O13" s="19">
        <v>3.0</v>
      </c>
      <c r="P13" s="12" t="str">
        <f t="array" ref="P13">INDEX('Scoring &amp; Notes'!$B$26:$B$30,MATCH(O13,'Scoring &amp; Notes'!$A$26:$A$30,0))</f>
        <v>Moderate</v>
      </c>
      <c r="Q13" s="10">
        <f t="shared" si="1"/>
        <v>12</v>
      </c>
      <c r="R13" s="10" t="str">
        <f>IF(Q13&gt;='Scoring &amp; Notes'!$B$34,'Scoring &amp; Notes'!$A$34,IF(Q13&gt;='Scoring &amp; Notes'!$B$35,'Scoring &amp; Notes'!$A$35,IF(Q13&gt;='Scoring &amp; Notes'!$B$36,'Scoring &amp; Notes'!$A$36,'Scoring &amp; Notes'!$A$37)))</f>
        <v>High</v>
      </c>
      <c r="S13" s="10" t="str">
        <f>IF(OR(R13='Scoring &amp; Notes'!$A$34,R13='Scoring &amp; Notes'!$A$35),"H",IF(R13='Scoring &amp; Notes'!$A$36,"M","L"))</f>
        <v>H</v>
      </c>
      <c r="T13" s="10" t="str">
        <f t="array" ref="T13">INDEX('Scoring &amp; Notes'!$D$34:$D$37,MATCH(R13,'Scoring &amp; Notes'!$A$34:$A$37,0))</f>
        <v>P2</v>
      </c>
      <c r="U13" s="13" t="s">
        <v>356</v>
      </c>
      <c r="V13" s="13" t="s">
        <v>357</v>
      </c>
      <c r="W13" s="13" t="s">
        <v>358</v>
      </c>
      <c r="X13" s="13" t="s">
        <v>359</v>
      </c>
      <c r="Y13" s="13" t="s">
        <v>360</v>
      </c>
      <c r="Z13" s="13" t="s">
        <v>361</v>
      </c>
      <c r="AA13" s="13" t="s">
        <v>362</v>
      </c>
      <c r="AB13" s="13" t="s">
        <v>363</v>
      </c>
      <c r="AC13" s="13" t="s">
        <v>364</v>
      </c>
      <c r="AD13" s="13" t="s">
        <v>60</v>
      </c>
      <c r="AE13" s="12">
        <f t="array" ref="AE13">INDEX('Scoring &amp; Notes'!$E$34:$E$37,MATCH(R13,'Scoring &amp; Notes'!$A$34:$A$37,0))</f>
        <v>30</v>
      </c>
      <c r="AF13" s="20">
        <f>'Scoring &amp; Notes'!$B$12+AE13</f>
        <v>46348</v>
      </c>
      <c r="AG13" s="12" t="s">
        <v>61</v>
      </c>
      <c r="AH13" s="13"/>
    </row>
    <row r="14" ht="39.0" customHeight="1">
      <c r="A14" s="5" t="s">
        <v>369</v>
      </c>
      <c r="B14" s="6" t="s">
        <v>103</v>
      </c>
      <c r="C14" s="5" t="s">
        <v>370</v>
      </c>
      <c r="D14" s="6" t="s">
        <v>372</v>
      </c>
      <c r="E14" s="6" t="s">
        <v>373</v>
      </c>
      <c r="F14" s="6" t="s">
        <v>375</v>
      </c>
      <c r="G14" s="6" t="s">
        <v>376</v>
      </c>
      <c r="H14" s="6" t="s">
        <v>378</v>
      </c>
      <c r="I14" s="6" t="s">
        <v>380</v>
      </c>
      <c r="J14" s="6" t="s">
        <v>134</v>
      </c>
      <c r="K14" s="6" t="s">
        <v>382</v>
      </c>
      <c r="L14" s="6" t="s">
        <v>383</v>
      </c>
      <c r="M14" s="9">
        <v>4.0</v>
      </c>
      <c r="N14" s="8" t="str">
        <f t="array" ref="N14">INDEX('Scoring &amp; Notes'!$B$18:$B$22,MATCH(M14,'Scoring &amp; Notes'!$A$18:$A$22,0))</f>
        <v>Likely</v>
      </c>
      <c r="O14" s="9">
        <v>4.0</v>
      </c>
      <c r="P14" s="8" t="str">
        <f t="array" ref="P14">INDEX('Scoring &amp; Notes'!$B$26:$B$30,MATCH(O14,'Scoring &amp; Notes'!$A$26:$A$30,0))</f>
        <v>Major</v>
      </c>
      <c r="Q14" s="7">
        <f t="shared" si="1"/>
        <v>16</v>
      </c>
      <c r="R14" s="7" t="str">
        <f>IF(Q14&gt;='Scoring &amp; Notes'!$B$34,'Scoring &amp; Notes'!$A$34,IF(Q14&gt;='Scoring &amp; Notes'!$B$35,'Scoring &amp; Notes'!$A$35,IF(Q14&gt;='Scoring &amp; Notes'!$B$36,'Scoring &amp; Notes'!$A$36,'Scoring &amp; Notes'!$A$37)))</f>
        <v>High</v>
      </c>
      <c r="S14" s="7" t="str">
        <f>IF(OR(R14='Scoring &amp; Notes'!$A$34,R14='Scoring &amp; Notes'!$A$35),"H",IF(R14='Scoring &amp; Notes'!$A$36,"M","L"))</f>
        <v>H</v>
      </c>
      <c r="T14" s="7" t="str">
        <f t="array" ref="T14">INDEX('Scoring &amp; Notes'!$D$34:$D$37,MATCH(R14,'Scoring &amp; Notes'!$A$34:$A$37,0))</f>
        <v>P2</v>
      </c>
      <c r="U14" s="6" t="s">
        <v>410</v>
      </c>
      <c r="V14" s="6" t="s">
        <v>52</v>
      </c>
      <c r="W14" s="6" t="s">
        <v>53</v>
      </c>
      <c r="X14" s="6" t="s">
        <v>54</v>
      </c>
      <c r="Y14" s="6" t="s">
        <v>55</v>
      </c>
      <c r="Z14" s="6" t="s">
        <v>56</v>
      </c>
      <c r="AA14" s="6" t="s">
        <v>411</v>
      </c>
      <c r="AB14" s="6" t="s">
        <v>412</v>
      </c>
      <c r="AC14" s="6" t="s">
        <v>413</v>
      </c>
      <c r="AD14" s="6" t="s">
        <v>124</v>
      </c>
      <c r="AE14" s="8">
        <f t="array" ref="AE14">INDEX('Scoring &amp; Notes'!$E$34:$E$37,MATCH(R14,'Scoring &amp; Notes'!$A$34:$A$37,0))</f>
        <v>30</v>
      </c>
      <c r="AF14" s="18">
        <f>'Scoring &amp; Notes'!$B$12+AE14</f>
        <v>46348</v>
      </c>
      <c r="AG14" s="8" t="s">
        <v>61</v>
      </c>
      <c r="AH14" s="6"/>
    </row>
    <row r="15" ht="64.5" customHeight="1">
      <c r="A15" s="11" t="s">
        <v>421</v>
      </c>
      <c r="B15" s="13" t="s">
        <v>127</v>
      </c>
      <c r="C15" s="11" t="s">
        <v>423</v>
      </c>
      <c r="D15" s="13" t="s">
        <v>425</v>
      </c>
      <c r="E15" s="13" t="s">
        <v>426</v>
      </c>
      <c r="F15" s="13" t="s">
        <v>375</v>
      </c>
      <c r="G15" s="13" t="s">
        <v>427</v>
      </c>
      <c r="H15" s="13" t="s">
        <v>428</v>
      </c>
      <c r="I15" s="13" t="s">
        <v>70</v>
      </c>
      <c r="J15" s="13" t="s">
        <v>156</v>
      </c>
      <c r="K15" s="13" t="s">
        <v>430</v>
      </c>
      <c r="L15" s="13" t="s">
        <v>431</v>
      </c>
      <c r="M15" s="19">
        <v>4.0</v>
      </c>
      <c r="N15" s="12" t="str">
        <f t="array" ref="N15">INDEX('Scoring &amp; Notes'!$B$18:$B$22,MATCH(M15,'Scoring &amp; Notes'!$A$18:$A$22,0))</f>
        <v>Likely</v>
      </c>
      <c r="O15" s="19">
        <v>4.0</v>
      </c>
      <c r="P15" s="12" t="str">
        <f t="array" ref="P15">INDEX('Scoring &amp; Notes'!$B$26:$B$30,MATCH(O15,'Scoring &amp; Notes'!$A$26:$A$30,0))</f>
        <v>Major</v>
      </c>
      <c r="Q15" s="10">
        <f t="shared" si="1"/>
        <v>16</v>
      </c>
      <c r="R15" s="10" t="str">
        <f>IF(Q15&gt;='Scoring &amp; Notes'!$B$34,'Scoring &amp; Notes'!$A$34,IF(Q15&gt;='Scoring &amp; Notes'!$B$35,'Scoring &amp; Notes'!$A$35,IF(Q15&gt;='Scoring &amp; Notes'!$B$36,'Scoring &amp; Notes'!$A$36,'Scoring &amp; Notes'!$A$37)))</f>
        <v>High</v>
      </c>
      <c r="S15" s="10" t="str">
        <f>IF(OR(R15='Scoring &amp; Notes'!$A$34,R15='Scoring &amp; Notes'!$A$35),"H",IF(R15='Scoring &amp; Notes'!$A$36,"M","L"))</f>
        <v>H</v>
      </c>
      <c r="T15" s="10" t="str">
        <f t="array" ref="T15">INDEX('Scoring &amp; Notes'!$D$34:$D$37,MATCH(R15,'Scoring &amp; Notes'!$A$34:$A$37,0))</f>
        <v>P2</v>
      </c>
      <c r="U15" s="13" t="s">
        <v>491</v>
      </c>
      <c r="V15" s="13" t="s">
        <v>493</v>
      </c>
      <c r="W15" s="13" t="s">
        <v>494</v>
      </c>
      <c r="X15" s="13" t="s">
        <v>495</v>
      </c>
      <c r="Y15" s="13" t="s">
        <v>496</v>
      </c>
      <c r="Z15" s="13" t="s">
        <v>56</v>
      </c>
      <c r="AA15" s="13" t="s">
        <v>497</v>
      </c>
      <c r="AB15" s="13" t="s">
        <v>499</v>
      </c>
      <c r="AC15" s="13" t="s">
        <v>500</v>
      </c>
      <c r="AD15" s="13" t="s">
        <v>124</v>
      </c>
      <c r="AE15" s="12">
        <f t="array" ref="AE15">INDEX('Scoring &amp; Notes'!$E$34:$E$37,MATCH(R15,'Scoring &amp; Notes'!$A$34:$A$37,0))</f>
        <v>30</v>
      </c>
      <c r="AF15" s="20">
        <f>'Scoring &amp; Notes'!$B$12+AE15</f>
        <v>46348</v>
      </c>
      <c r="AG15" s="12" t="s">
        <v>61</v>
      </c>
      <c r="AH15" s="13"/>
    </row>
    <row r="16" ht="39.0" customHeight="1">
      <c r="A16" s="5" t="s">
        <v>296</v>
      </c>
      <c r="B16" s="6" t="s">
        <v>147</v>
      </c>
      <c r="C16" s="5" t="s">
        <v>518</v>
      </c>
      <c r="D16" s="6" t="s">
        <v>520</v>
      </c>
      <c r="E16" s="6" t="s">
        <v>521</v>
      </c>
      <c r="F16" s="6" t="s">
        <v>522</v>
      </c>
      <c r="G16" s="6" t="s">
        <v>45</v>
      </c>
      <c r="H16" s="6" t="s">
        <v>523</v>
      </c>
      <c r="I16" s="6" t="s">
        <v>70</v>
      </c>
      <c r="J16" s="6" t="s">
        <v>156</v>
      </c>
      <c r="K16" s="6" t="s">
        <v>524</v>
      </c>
      <c r="L16" s="6" t="s">
        <v>198</v>
      </c>
      <c r="M16" s="9">
        <v>4.0</v>
      </c>
      <c r="N16" s="8" t="str">
        <f t="array" ref="N16">INDEX('Scoring &amp; Notes'!$B$18:$B$22,MATCH(M16,'Scoring &amp; Notes'!$A$18:$A$22,0))</f>
        <v>Likely</v>
      </c>
      <c r="O16" s="9">
        <v>4.0</v>
      </c>
      <c r="P16" s="8" t="str">
        <f t="array" ref="P16">INDEX('Scoring &amp; Notes'!$B$26:$B$30,MATCH(O16,'Scoring &amp; Notes'!$A$26:$A$30,0))</f>
        <v>Major</v>
      </c>
      <c r="Q16" s="7">
        <f t="shared" si="1"/>
        <v>16</v>
      </c>
      <c r="R16" s="7" t="str">
        <f>IF(Q16&gt;='Scoring &amp; Notes'!$B$34,'Scoring &amp; Notes'!$A$34,IF(Q16&gt;='Scoring &amp; Notes'!$B$35,'Scoring &amp; Notes'!$A$35,IF(Q16&gt;='Scoring &amp; Notes'!$B$36,'Scoring &amp; Notes'!$A$36,'Scoring &amp; Notes'!$A$37)))</f>
        <v>High</v>
      </c>
      <c r="S16" s="7" t="str">
        <f>IF(OR(R16='Scoring &amp; Notes'!$A$34,R16='Scoring &amp; Notes'!$A$35),"H",IF(R16='Scoring &amp; Notes'!$A$36,"M","L"))</f>
        <v>H</v>
      </c>
      <c r="T16" s="7" t="str">
        <f t="array" ref="T16">INDEX('Scoring &amp; Notes'!$D$34:$D$37,MATCH(R16,'Scoring &amp; Notes'!$A$34:$A$37,0))</f>
        <v>P2</v>
      </c>
      <c r="U16" s="6" t="s">
        <v>535</v>
      </c>
      <c r="V16" s="6" t="s">
        <v>493</v>
      </c>
      <c r="W16" s="6" t="s">
        <v>494</v>
      </c>
      <c r="X16" s="6" t="s">
        <v>495</v>
      </c>
      <c r="Y16" s="6" t="s">
        <v>496</v>
      </c>
      <c r="Z16" s="6" t="s">
        <v>56</v>
      </c>
      <c r="AA16" s="6" t="s">
        <v>537</v>
      </c>
      <c r="AB16" s="6" t="s">
        <v>538</v>
      </c>
      <c r="AC16" s="6" t="s">
        <v>539</v>
      </c>
      <c r="AD16" s="6" t="s">
        <v>101</v>
      </c>
      <c r="AE16" s="8">
        <f t="array" ref="AE16">INDEX('Scoring &amp; Notes'!$E$34:$E$37,MATCH(R16,'Scoring &amp; Notes'!$A$34:$A$37,0))</f>
        <v>30</v>
      </c>
      <c r="AF16" s="18">
        <f>'Scoring &amp; Notes'!$B$12+AE16</f>
        <v>46348</v>
      </c>
      <c r="AG16" s="8" t="s">
        <v>61</v>
      </c>
      <c r="AH16" s="6"/>
    </row>
    <row r="17" ht="51.75" customHeight="1">
      <c r="A17" s="11" t="s">
        <v>327</v>
      </c>
      <c r="B17" s="13" t="s">
        <v>103</v>
      </c>
      <c r="C17" s="11" t="s">
        <v>543</v>
      </c>
      <c r="D17" s="13" t="s">
        <v>544</v>
      </c>
      <c r="E17" s="13" t="s">
        <v>324</v>
      </c>
      <c r="F17" s="13" t="s">
        <v>545</v>
      </c>
      <c r="G17" s="13" t="s">
        <v>68</v>
      </c>
      <c r="H17" s="13" t="s">
        <v>546</v>
      </c>
      <c r="I17" s="13" t="s">
        <v>70</v>
      </c>
      <c r="J17" s="13" t="s">
        <v>71</v>
      </c>
      <c r="K17" s="13" t="s">
        <v>547</v>
      </c>
      <c r="L17" s="13" t="s">
        <v>548</v>
      </c>
      <c r="M17" s="19">
        <v>4.0</v>
      </c>
      <c r="N17" s="12" t="str">
        <f t="array" ref="N17">INDEX('Scoring &amp; Notes'!$B$18:$B$22,MATCH(M17,'Scoring &amp; Notes'!$A$18:$A$22,0))</f>
        <v>Likely</v>
      </c>
      <c r="O17" s="19">
        <v>4.0</v>
      </c>
      <c r="P17" s="12" t="str">
        <f t="array" ref="P17">INDEX('Scoring &amp; Notes'!$B$26:$B$30,MATCH(O17,'Scoring &amp; Notes'!$A$26:$A$30,0))</f>
        <v>Major</v>
      </c>
      <c r="Q17" s="10">
        <f t="shared" si="1"/>
        <v>16</v>
      </c>
      <c r="R17" s="10" t="str">
        <f>IF(Q17&gt;='Scoring &amp; Notes'!$B$34,'Scoring &amp; Notes'!$A$34,IF(Q17&gt;='Scoring &amp; Notes'!$B$35,'Scoring &amp; Notes'!$A$35,IF(Q17&gt;='Scoring &amp; Notes'!$B$36,'Scoring &amp; Notes'!$A$36,'Scoring &amp; Notes'!$A$37)))</f>
        <v>High</v>
      </c>
      <c r="S17" s="10" t="str">
        <f>IF(OR(R17='Scoring &amp; Notes'!$A$34,R17='Scoring &amp; Notes'!$A$35),"H",IF(R17='Scoring &amp; Notes'!$A$36,"M","L"))</f>
        <v>H</v>
      </c>
      <c r="T17" s="10" t="str">
        <f t="array" ref="T17">INDEX('Scoring &amp; Notes'!$D$34:$D$37,MATCH(R17,'Scoring &amp; Notes'!$A$34:$A$37,0))</f>
        <v>P2</v>
      </c>
      <c r="U17" s="13" t="s">
        <v>565</v>
      </c>
      <c r="V17" s="13" t="s">
        <v>75</v>
      </c>
      <c r="W17" s="13" t="s">
        <v>76</v>
      </c>
      <c r="X17" s="13" t="s">
        <v>77</v>
      </c>
      <c r="Y17" s="13" t="s">
        <v>78</v>
      </c>
      <c r="Z17" s="13" t="s">
        <v>79</v>
      </c>
      <c r="AA17" s="13" t="s">
        <v>566</v>
      </c>
      <c r="AB17" s="13" t="s">
        <v>567</v>
      </c>
      <c r="AC17" s="13" t="s">
        <v>568</v>
      </c>
      <c r="AD17" s="13" t="s">
        <v>60</v>
      </c>
      <c r="AE17" s="12">
        <f t="array" ref="AE17">INDEX('Scoring &amp; Notes'!$E$34:$E$37,MATCH(R17,'Scoring &amp; Notes'!$A$34:$A$37,0))</f>
        <v>30</v>
      </c>
      <c r="AF17" s="20">
        <f>'Scoring &amp; Notes'!$B$12+AE17</f>
        <v>46348</v>
      </c>
      <c r="AG17" s="12" t="s">
        <v>61</v>
      </c>
      <c r="AH17" s="13"/>
    </row>
    <row r="18" ht="39.0" customHeight="1">
      <c r="A18" s="5" t="s">
        <v>322</v>
      </c>
      <c r="B18" s="6" t="s">
        <v>103</v>
      </c>
      <c r="C18" s="5" t="s">
        <v>579</v>
      </c>
      <c r="D18" s="6" t="s">
        <v>581</v>
      </c>
      <c r="E18" s="6" t="s">
        <v>582</v>
      </c>
      <c r="F18" s="6" t="s">
        <v>584</v>
      </c>
      <c r="G18" s="6" t="s">
        <v>68</v>
      </c>
      <c r="H18" s="6" t="s">
        <v>585</v>
      </c>
      <c r="I18" s="6" t="s">
        <v>70</v>
      </c>
      <c r="J18" s="6" t="s">
        <v>71</v>
      </c>
      <c r="K18" s="6" t="s">
        <v>587</v>
      </c>
      <c r="L18" s="6" t="s">
        <v>588</v>
      </c>
      <c r="M18" s="9">
        <v>4.0</v>
      </c>
      <c r="N18" s="8" t="str">
        <f t="array" ref="N18">INDEX('Scoring &amp; Notes'!$B$18:$B$22,MATCH(M18,'Scoring &amp; Notes'!$A$18:$A$22,0))</f>
        <v>Likely</v>
      </c>
      <c r="O18" s="9">
        <v>4.0</v>
      </c>
      <c r="P18" s="8" t="str">
        <f t="array" ref="P18">INDEX('Scoring &amp; Notes'!$B$26:$B$30,MATCH(O18,'Scoring &amp; Notes'!$A$26:$A$30,0))</f>
        <v>Major</v>
      </c>
      <c r="Q18" s="7">
        <f t="shared" si="1"/>
        <v>16</v>
      </c>
      <c r="R18" s="7" t="str">
        <f>IF(Q18&gt;='Scoring &amp; Notes'!$B$34,'Scoring &amp; Notes'!$A$34,IF(Q18&gt;='Scoring &amp; Notes'!$B$35,'Scoring &amp; Notes'!$A$35,IF(Q18&gt;='Scoring &amp; Notes'!$B$36,'Scoring &amp; Notes'!$A$36,'Scoring &amp; Notes'!$A$37)))</f>
        <v>High</v>
      </c>
      <c r="S18" s="7" t="str">
        <f>IF(OR(R18='Scoring &amp; Notes'!$A$34,R18='Scoring &amp; Notes'!$A$35),"H",IF(R18='Scoring &amp; Notes'!$A$36,"M","L"))</f>
        <v>H</v>
      </c>
      <c r="T18" s="7" t="str">
        <f t="array" ref="T18">INDEX('Scoring &amp; Notes'!$D$34:$D$37,MATCH(R18,'Scoring &amp; Notes'!$A$34:$A$37,0))</f>
        <v>P2</v>
      </c>
      <c r="U18" s="6" t="s">
        <v>637</v>
      </c>
      <c r="V18" s="6" t="s">
        <v>493</v>
      </c>
      <c r="W18" s="6" t="s">
        <v>494</v>
      </c>
      <c r="X18" s="6" t="s">
        <v>495</v>
      </c>
      <c r="Y18" s="6" t="s">
        <v>496</v>
      </c>
      <c r="Z18" s="6" t="s">
        <v>56</v>
      </c>
      <c r="AA18" s="6" t="s">
        <v>639</v>
      </c>
      <c r="AB18" s="6" t="s">
        <v>640</v>
      </c>
      <c r="AC18" s="6" t="s">
        <v>641</v>
      </c>
      <c r="AD18" s="6" t="s">
        <v>124</v>
      </c>
      <c r="AE18" s="8">
        <f t="array" ref="AE18">INDEX('Scoring &amp; Notes'!$E$34:$E$37,MATCH(R18,'Scoring &amp; Notes'!$A$34:$A$37,0))</f>
        <v>30</v>
      </c>
      <c r="AF18" s="18">
        <f>'Scoring &amp; Notes'!$B$12+AE18</f>
        <v>46348</v>
      </c>
      <c r="AG18" s="8" t="s">
        <v>61</v>
      </c>
      <c r="AH18" s="6"/>
    </row>
    <row r="19" ht="51.75" customHeight="1">
      <c r="A19" s="11" t="s">
        <v>645</v>
      </c>
      <c r="B19" s="13" t="s">
        <v>102</v>
      </c>
      <c r="C19" s="11" t="s">
        <v>646</v>
      </c>
      <c r="D19" s="13" t="s">
        <v>647</v>
      </c>
      <c r="E19" s="13" t="s">
        <v>242</v>
      </c>
      <c r="F19" s="13" t="s">
        <v>648</v>
      </c>
      <c r="G19" s="13" t="s">
        <v>68</v>
      </c>
      <c r="H19" s="13" t="s">
        <v>649</v>
      </c>
      <c r="I19" s="13" t="s">
        <v>70</v>
      </c>
      <c r="J19" s="13" t="s">
        <v>71</v>
      </c>
      <c r="K19" s="13" t="s">
        <v>650</v>
      </c>
      <c r="L19" s="13" t="s">
        <v>651</v>
      </c>
      <c r="M19" s="19">
        <v>3.0</v>
      </c>
      <c r="N19" s="12" t="str">
        <f t="array" ref="N19">INDEX('Scoring &amp; Notes'!$B$18:$B$22,MATCH(M19,'Scoring &amp; Notes'!$A$18:$A$22,0))</f>
        <v>Possible</v>
      </c>
      <c r="O19" s="19">
        <v>4.0</v>
      </c>
      <c r="P19" s="12" t="str">
        <f t="array" ref="P19">INDEX('Scoring &amp; Notes'!$B$26:$B$30,MATCH(O19,'Scoring &amp; Notes'!$A$26:$A$30,0))</f>
        <v>Major</v>
      </c>
      <c r="Q19" s="10">
        <f t="shared" si="1"/>
        <v>12</v>
      </c>
      <c r="R19" s="10" t="str">
        <f>IF(Q19&gt;='Scoring &amp; Notes'!$B$34,'Scoring &amp; Notes'!$A$34,IF(Q19&gt;='Scoring &amp; Notes'!$B$35,'Scoring &amp; Notes'!$A$35,IF(Q19&gt;='Scoring &amp; Notes'!$B$36,'Scoring &amp; Notes'!$A$36,'Scoring &amp; Notes'!$A$37)))</f>
        <v>High</v>
      </c>
      <c r="S19" s="10" t="str">
        <f>IF(OR(R19='Scoring &amp; Notes'!$A$34,R19='Scoring &amp; Notes'!$A$35),"H",IF(R19='Scoring &amp; Notes'!$A$36,"M","L"))</f>
        <v>H</v>
      </c>
      <c r="T19" s="10" t="str">
        <f t="array" ref="T19">INDEX('Scoring &amp; Notes'!$D$34:$D$37,MATCH(R19,'Scoring &amp; Notes'!$A$34:$A$37,0))</f>
        <v>P2</v>
      </c>
      <c r="U19" s="13" t="s">
        <v>680</v>
      </c>
      <c r="V19" s="13" t="s">
        <v>201</v>
      </c>
      <c r="W19" s="13" t="s">
        <v>202</v>
      </c>
      <c r="X19" s="13" t="s">
        <v>203</v>
      </c>
      <c r="Y19" s="13" t="s">
        <v>204</v>
      </c>
      <c r="Z19" s="13" t="s">
        <v>205</v>
      </c>
      <c r="AA19" s="13" t="s">
        <v>683</v>
      </c>
      <c r="AB19" s="13" t="s">
        <v>685</v>
      </c>
      <c r="AC19" s="13" t="s">
        <v>687</v>
      </c>
      <c r="AD19" s="13" t="s">
        <v>688</v>
      </c>
      <c r="AE19" s="12">
        <f t="array" ref="AE19">INDEX('Scoring &amp; Notes'!$E$34:$E$37,MATCH(R19,'Scoring &amp; Notes'!$A$34:$A$37,0))</f>
        <v>30</v>
      </c>
      <c r="AF19" s="20">
        <f>'Scoring &amp; Notes'!$B$12+AE19</f>
        <v>46348</v>
      </c>
      <c r="AG19" s="12" t="s">
        <v>61</v>
      </c>
      <c r="AH19" s="13"/>
    </row>
    <row r="20" ht="39.0" customHeight="1">
      <c r="A20" s="5" t="s">
        <v>707</v>
      </c>
      <c r="B20" s="6" t="s">
        <v>103</v>
      </c>
      <c r="C20" s="5" t="s">
        <v>708</v>
      </c>
      <c r="D20" s="6" t="s">
        <v>710</v>
      </c>
      <c r="E20" s="6" t="s">
        <v>711</v>
      </c>
      <c r="F20" s="6" t="s">
        <v>713</v>
      </c>
      <c r="G20" s="6" t="s">
        <v>68</v>
      </c>
      <c r="H20" s="6" t="s">
        <v>715</v>
      </c>
      <c r="I20" s="6" t="s">
        <v>70</v>
      </c>
      <c r="J20" s="6" t="s">
        <v>71</v>
      </c>
      <c r="K20" s="6" t="s">
        <v>717</v>
      </c>
      <c r="L20" s="6" t="s">
        <v>718</v>
      </c>
      <c r="M20" s="9">
        <v>4.0</v>
      </c>
      <c r="N20" s="8" t="str">
        <f t="array" ref="N20">INDEX('Scoring &amp; Notes'!$B$18:$B$22,MATCH(M20,'Scoring &amp; Notes'!$A$18:$A$22,0))</f>
        <v>Likely</v>
      </c>
      <c r="O20" s="9">
        <v>4.0</v>
      </c>
      <c r="P20" s="8" t="str">
        <f t="array" ref="P20">INDEX('Scoring &amp; Notes'!$B$26:$B$30,MATCH(O20,'Scoring &amp; Notes'!$A$26:$A$30,0))</f>
        <v>Major</v>
      </c>
      <c r="Q20" s="7">
        <f t="shared" si="1"/>
        <v>16</v>
      </c>
      <c r="R20" s="7" t="str">
        <f>IF(Q20&gt;='Scoring &amp; Notes'!$B$34,'Scoring &amp; Notes'!$A$34,IF(Q20&gt;='Scoring &amp; Notes'!$B$35,'Scoring &amp; Notes'!$A$35,IF(Q20&gt;='Scoring &amp; Notes'!$B$36,'Scoring &amp; Notes'!$A$36,'Scoring &amp; Notes'!$A$37)))</f>
        <v>High</v>
      </c>
      <c r="S20" s="7" t="str">
        <f>IF(OR(R20='Scoring &amp; Notes'!$A$34,R20='Scoring &amp; Notes'!$A$35),"H",IF(R20='Scoring &amp; Notes'!$A$36,"M","L"))</f>
        <v>H</v>
      </c>
      <c r="T20" s="7" t="str">
        <f t="array" ref="T20">INDEX('Scoring &amp; Notes'!$D$34:$D$37,MATCH(R20,'Scoring &amp; Notes'!$A$34:$A$37,0))</f>
        <v>P2</v>
      </c>
      <c r="U20" s="6" t="s">
        <v>738</v>
      </c>
      <c r="V20" s="6" t="s">
        <v>493</v>
      </c>
      <c r="W20" s="6" t="s">
        <v>494</v>
      </c>
      <c r="X20" s="6" t="s">
        <v>495</v>
      </c>
      <c r="Y20" s="6" t="s">
        <v>496</v>
      </c>
      <c r="Z20" s="6" t="s">
        <v>56</v>
      </c>
      <c r="AA20" s="6" t="s">
        <v>739</v>
      </c>
      <c r="AB20" s="6" t="s">
        <v>740</v>
      </c>
      <c r="AC20" s="6" t="s">
        <v>741</v>
      </c>
      <c r="AD20" s="6" t="s">
        <v>60</v>
      </c>
      <c r="AE20" s="8">
        <f t="array" ref="AE20">INDEX('Scoring &amp; Notes'!$E$34:$E$37,MATCH(R20,'Scoring &amp; Notes'!$A$34:$A$37,0))</f>
        <v>30</v>
      </c>
      <c r="AF20" s="18">
        <f>'Scoring &amp; Notes'!$B$12+AE20</f>
        <v>46348</v>
      </c>
      <c r="AG20" s="8" t="s">
        <v>61</v>
      </c>
      <c r="AH20" s="6"/>
    </row>
    <row r="21" ht="51.75" customHeight="1">
      <c r="A21" s="11" t="s">
        <v>744</v>
      </c>
      <c r="B21" s="13" t="s">
        <v>103</v>
      </c>
      <c r="C21" s="11" t="s">
        <v>745</v>
      </c>
      <c r="D21" s="13" t="s">
        <v>746</v>
      </c>
      <c r="E21" s="13" t="s">
        <v>747</v>
      </c>
      <c r="F21" s="13" t="s">
        <v>748</v>
      </c>
      <c r="G21" s="13" t="s">
        <v>68</v>
      </c>
      <c r="H21" s="13" t="s">
        <v>750</v>
      </c>
      <c r="I21" s="13" t="s">
        <v>70</v>
      </c>
      <c r="J21" s="13" t="s">
        <v>71</v>
      </c>
      <c r="K21" s="13" t="s">
        <v>751</v>
      </c>
      <c r="L21" s="13" t="s">
        <v>752</v>
      </c>
      <c r="M21" s="19">
        <v>5.0</v>
      </c>
      <c r="N21" s="12" t="str">
        <f t="array" ref="N21">INDEX('Scoring &amp; Notes'!$B$18:$B$22,MATCH(M21,'Scoring &amp; Notes'!$A$18:$A$22,0))</f>
        <v>Almost certain</v>
      </c>
      <c r="O21" s="19">
        <v>3.0</v>
      </c>
      <c r="P21" s="12" t="str">
        <f t="array" ref="P21">INDEX('Scoring &amp; Notes'!$B$26:$B$30,MATCH(O21,'Scoring &amp; Notes'!$A$26:$A$30,0))</f>
        <v>Moderate</v>
      </c>
      <c r="Q21" s="10">
        <f t="shared" si="1"/>
        <v>15</v>
      </c>
      <c r="R21" s="10" t="str">
        <f>IF(Q21&gt;='Scoring &amp; Notes'!$B$34,'Scoring &amp; Notes'!$A$34,IF(Q21&gt;='Scoring &amp; Notes'!$B$35,'Scoring &amp; Notes'!$A$35,IF(Q21&gt;='Scoring &amp; Notes'!$B$36,'Scoring &amp; Notes'!$A$36,'Scoring &amp; Notes'!$A$37)))</f>
        <v>High</v>
      </c>
      <c r="S21" s="10" t="str">
        <f>IF(OR(R21='Scoring &amp; Notes'!$A$34,R21='Scoring &amp; Notes'!$A$35),"H",IF(R21='Scoring &amp; Notes'!$A$36,"M","L"))</f>
        <v>H</v>
      </c>
      <c r="T21" s="10" t="str">
        <f t="array" ref="T21">INDEX('Scoring &amp; Notes'!$D$34:$D$37,MATCH(R21,'Scoring &amp; Notes'!$A$34:$A$37,0))</f>
        <v>P2</v>
      </c>
      <c r="U21" s="13" t="s">
        <v>776</v>
      </c>
      <c r="V21" s="13" t="s">
        <v>777</v>
      </c>
      <c r="W21" s="13" t="s">
        <v>779</v>
      </c>
      <c r="X21" s="13" t="s">
        <v>781</v>
      </c>
      <c r="Y21" s="13" t="s">
        <v>782</v>
      </c>
      <c r="Z21" s="13" t="s">
        <v>79</v>
      </c>
      <c r="AA21" s="13" t="s">
        <v>785</v>
      </c>
      <c r="AB21" s="13" t="s">
        <v>786</v>
      </c>
      <c r="AC21" s="13" t="s">
        <v>788</v>
      </c>
      <c r="AD21" s="13" t="s">
        <v>789</v>
      </c>
      <c r="AE21" s="12">
        <f t="array" ref="AE21">INDEX('Scoring &amp; Notes'!$E$34:$E$37,MATCH(R21,'Scoring &amp; Notes'!$A$34:$A$37,0))</f>
        <v>30</v>
      </c>
      <c r="AF21" s="20">
        <f>'Scoring &amp; Notes'!$B$12+AE21</f>
        <v>46348</v>
      </c>
      <c r="AG21" s="12" t="s">
        <v>61</v>
      </c>
      <c r="AH21" s="13"/>
    </row>
    <row r="22" ht="51.75" customHeight="1">
      <c r="A22" s="5" t="s">
        <v>289</v>
      </c>
      <c r="B22" s="6" t="s">
        <v>103</v>
      </c>
      <c r="C22" s="5" t="s">
        <v>800</v>
      </c>
      <c r="D22" s="6" t="s">
        <v>802</v>
      </c>
      <c r="E22" s="6" t="s">
        <v>803</v>
      </c>
      <c r="F22" s="6" t="s">
        <v>804</v>
      </c>
      <c r="G22" s="6" t="s">
        <v>45</v>
      </c>
      <c r="H22" s="6" t="s">
        <v>806</v>
      </c>
      <c r="I22" s="6" t="s">
        <v>70</v>
      </c>
      <c r="J22" s="6" t="s">
        <v>156</v>
      </c>
      <c r="K22" s="6" t="s">
        <v>808</v>
      </c>
      <c r="L22" s="6" t="s">
        <v>809</v>
      </c>
      <c r="M22" s="9">
        <v>3.0</v>
      </c>
      <c r="N22" s="8" t="str">
        <f t="array" ref="N22">INDEX('Scoring &amp; Notes'!$B$18:$B$22,MATCH(M22,'Scoring &amp; Notes'!$A$18:$A$22,0))</f>
        <v>Possible</v>
      </c>
      <c r="O22" s="9">
        <v>3.0</v>
      </c>
      <c r="P22" s="8" t="str">
        <f t="array" ref="P22">INDEX('Scoring &amp; Notes'!$B$26:$B$30,MATCH(O22,'Scoring &amp; Notes'!$A$26:$A$30,0))</f>
        <v>Moderate</v>
      </c>
      <c r="Q22" s="7">
        <f t="shared" si="1"/>
        <v>9</v>
      </c>
      <c r="R22" s="7" t="str">
        <f>IF(Q22&gt;='Scoring &amp; Notes'!$B$34,'Scoring &amp; Notes'!$A$34,IF(Q22&gt;='Scoring &amp; Notes'!$B$35,'Scoring &amp; Notes'!$A$35,IF(Q22&gt;='Scoring &amp; Notes'!$B$36,'Scoring &amp; Notes'!$A$36,'Scoring &amp; Notes'!$A$37)))</f>
        <v>Medium</v>
      </c>
      <c r="S22" s="7" t="str">
        <f>IF(OR(R22='Scoring &amp; Notes'!$A$34,R22='Scoring &amp; Notes'!$A$35),"H",IF(R22='Scoring &amp; Notes'!$A$36,"M","L"))</f>
        <v>M</v>
      </c>
      <c r="T22" s="7" t="str">
        <f t="array" ref="T22">INDEX('Scoring &amp; Notes'!$D$34:$D$37,MATCH(R22,'Scoring &amp; Notes'!$A$34:$A$37,0))</f>
        <v>P3</v>
      </c>
      <c r="U22" s="6" t="s">
        <v>850</v>
      </c>
      <c r="V22" s="6" t="s">
        <v>357</v>
      </c>
      <c r="W22" s="6" t="s">
        <v>358</v>
      </c>
      <c r="X22" s="6" t="s">
        <v>359</v>
      </c>
      <c r="Y22" s="6" t="s">
        <v>360</v>
      </c>
      <c r="Z22" s="6" t="s">
        <v>361</v>
      </c>
      <c r="AA22" s="6" t="s">
        <v>852</v>
      </c>
      <c r="AB22" s="6" t="s">
        <v>854</v>
      </c>
      <c r="AC22" s="6" t="s">
        <v>855</v>
      </c>
      <c r="AD22" s="6" t="s">
        <v>60</v>
      </c>
      <c r="AE22" s="8">
        <f t="array" ref="AE22">INDEX('Scoring &amp; Notes'!$E$34:$E$37,MATCH(R22,'Scoring &amp; Notes'!$A$34:$A$37,0))</f>
        <v>90</v>
      </c>
      <c r="AF22" s="18">
        <f>'Scoring &amp; Notes'!$B$12+AE22</f>
        <v>46408</v>
      </c>
      <c r="AG22" s="8" t="s">
        <v>61</v>
      </c>
      <c r="AH22" s="6"/>
    </row>
    <row r="23" ht="51.75" customHeight="1">
      <c r="A23" s="11" t="s">
        <v>393</v>
      </c>
      <c r="B23" s="13" t="s">
        <v>859</v>
      </c>
      <c r="C23" s="11" t="s">
        <v>860</v>
      </c>
      <c r="D23" s="13" t="s">
        <v>861</v>
      </c>
      <c r="E23" s="13" t="s">
        <v>862</v>
      </c>
      <c r="F23" s="13" t="s">
        <v>375</v>
      </c>
      <c r="G23" s="13" t="s">
        <v>863</v>
      </c>
      <c r="H23" s="13" t="s">
        <v>864</v>
      </c>
      <c r="I23" s="13" t="s">
        <v>70</v>
      </c>
      <c r="J23" s="13" t="s">
        <v>156</v>
      </c>
      <c r="K23" s="13" t="s">
        <v>865</v>
      </c>
      <c r="L23" s="13" t="s">
        <v>866</v>
      </c>
      <c r="M23" s="19">
        <v>3.0</v>
      </c>
      <c r="N23" s="12" t="str">
        <f t="array" ref="N23">INDEX('Scoring &amp; Notes'!$B$18:$B$22,MATCH(M23,'Scoring &amp; Notes'!$A$18:$A$22,0))</f>
        <v>Possible</v>
      </c>
      <c r="O23" s="19">
        <v>3.0</v>
      </c>
      <c r="P23" s="12" t="str">
        <f t="array" ref="P23">INDEX('Scoring &amp; Notes'!$B$26:$B$30,MATCH(O23,'Scoring &amp; Notes'!$A$26:$A$30,0))</f>
        <v>Moderate</v>
      </c>
      <c r="Q23" s="10">
        <f t="shared" si="1"/>
        <v>9</v>
      </c>
      <c r="R23" s="10" t="str">
        <f>IF(Q23&gt;='Scoring &amp; Notes'!$B$34,'Scoring &amp; Notes'!$A$34,IF(Q23&gt;='Scoring &amp; Notes'!$B$35,'Scoring &amp; Notes'!$A$35,IF(Q23&gt;='Scoring &amp; Notes'!$B$36,'Scoring &amp; Notes'!$A$36,'Scoring &amp; Notes'!$A$37)))</f>
        <v>Medium</v>
      </c>
      <c r="S23" s="10" t="str">
        <f>IF(OR(R23='Scoring &amp; Notes'!$A$34,R23='Scoring &amp; Notes'!$A$35),"H",IF(R23='Scoring &amp; Notes'!$A$36,"M","L"))</f>
        <v>M</v>
      </c>
      <c r="T23" s="10" t="str">
        <f t="array" ref="T23">INDEX('Scoring &amp; Notes'!$D$34:$D$37,MATCH(R23,'Scoring &amp; Notes'!$A$34:$A$37,0))</f>
        <v>P3</v>
      </c>
      <c r="U23" s="13" t="s">
        <v>882</v>
      </c>
      <c r="V23" s="13" t="s">
        <v>357</v>
      </c>
      <c r="W23" s="13" t="s">
        <v>358</v>
      </c>
      <c r="X23" s="13" t="s">
        <v>359</v>
      </c>
      <c r="Y23" s="13" t="s">
        <v>360</v>
      </c>
      <c r="Z23" s="13" t="s">
        <v>361</v>
      </c>
      <c r="AA23" s="13" t="s">
        <v>883</v>
      </c>
      <c r="AB23" s="13" t="s">
        <v>884</v>
      </c>
      <c r="AC23" s="13" t="s">
        <v>885</v>
      </c>
      <c r="AD23" s="13" t="s">
        <v>124</v>
      </c>
      <c r="AE23" s="12">
        <f t="array" ref="AE23">INDEX('Scoring &amp; Notes'!$E$34:$E$37,MATCH(R23,'Scoring &amp; Notes'!$A$34:$A$37,0))</f>
        <v>90</v>
      </c>
      <c r="AF23" s="20">
        <f>'Scoring &amp; Notes'!$B$12+AE23</f>
        <v>46408</v>
      </c>
      <c r="AG23" s="12" t="s">
        <v>61</v>
      </c>
      <c r="AH23" s="13"/>
    </row>
    <row r="24" ht="25.5" customHeight="1">
      <c r="A24" s="5" t="s">
        <v>401</v>
      </c>
      <c r="B24" s="6" t="s">
        <v>859</v>
      </c>
      <c r="C24" s="5" t="s">
        <v>890</v>
      </c>
      <c r="D24" s="6" t="s">
        <v>891</v>
      </c>
      <c r="E24" s="6" t="s">
        <v>460</v>
      </c>
      <c r="F24" s="6" t="s">
        <v>375</v>
      </c>
      <c r="G24" s="6" t="s">
        <v>863</v>
      </c>
      <c r="H24" s="6" t="s">
        <v>892</v>
      </c>
      <c r="I24" s="6" t="s">
        <v>70</v>
      </c>
      <c r="J24" s="6" t="s">
        <v>138</v>
      </c>
      <c r="K24" s="6" t="s">
        <v>893</v>
      </c>
      <c r="L24" s="6" t="s">
        <v>866</v>
      </c>
      <c r="M24" s="9">
        <v>4.0</v>
      </c>
      <c r="N24" s="8" t="str">
        <f t="array" ref="N24">INDEX('Scoring &amp; Notes'!$B$18:$B$22,MATCH(M24,'Scoring &amp; Notes'!$A$18:$A$22,0))</f>
        <v>Likely</v>
      </c>
      <c r="O24" s="9">
        <v>2.0</v>
      </c>
      <c r="P24" s="8" t="str">
        <f t="array" ref="P24">INDEX('Scoring &amp; Notes'!$B$26:$B$30,MATCH(O24,'Scoring &amp; Notes'!$A$26:$A$30,0))</f>
        <v>Minor</v>
      </c>
      <c r="Q24" s="7">
        <f t="shared" si="1"/>
        <v>8</v>
      </c>
      <c r="R24" s="7" t="str">
        <f>IF(Q24&gt;='Scoring &amp; Notes'!$B$34,'Scoring &amp; Notes'!$A$34,IF(Q24&gt;='Scoring &amp; Notes'!$B$35,'Scoring &amp; Notes'!$A$35,IF(Q24&gt;='Scoring &amp; Notes'!$B$36,'Scoring &amp; Notes'!$A$36,'Scoring &amp; Notes'!$A$37)))</f>
        <v>Medium</v>
      </c>
      <c r="S24" s="7" t="str">
        <f>IF(OR(R24='Scoring &amp; Notes'!$A$34,R24='Scoring &amp; Notes'!$A$35),"H",IF(R24='Scoring &amp; Notes'!$A$36,"M","L"))</f>
        <v>M</v>
      </c>
      <c r="T24" s="7" t="str">
        <f t="array" ref="T24">INDEX('Scoring &amp; Notes'!$D$34:$D$37,MATCH(R24,'Scoring &amp; Notes'!$A$34:$A$37,0))</f>
        <v>P3</v>
      </c>
      <c r="U24" s="6" t="s">
        <v>894</v>
      </c>
      <c r="V24" s="6" t="s">
        <v>895</v>
      </c>
      <c r="W24" s="6" t="s">
        <v>76</v>
      </c>
      <c r="X24" s="6" t="s">
        <v>77</v>
      </c>
      <c r="Y24" s="6" t="s">
        <v>896</v>
      </c>
      <c r="Z24" s="6" t="s">
        <v>897</v>
      </c>
      <c r="AA24" s="6" t="s">
        <v>898</v>
      </c>
      <c r="AB24" s="6" t="s">
        <v>899</v>
      </c>
      <c r="AC24" s="6" t="s">
        <v>900</v>
      </c>
      <c r="AD24" s="6" t="s">
        <v>124</v>
      </c>
      <c r="AE24" s="8">
        <f t="array" ref="AE24">INDEX('Scoring &amp; Notes'!$E$34:$E$37,MATCH(R24,'Scoring &amp; Notes'!$A$34:$A$37,0))</f>
        <v>90</v>
      </c>
      <c r="AF24" s="18">
        <f>'Scoring &amp; Notes'!$B$12+AE24</f>
        <v>46408</v>
      </c>
      <c r="AG24" s="8" t="s">
        <v>61</v>
      </c>
      <c r="AH24" s="6"/>
    </row>
    <row r="25" ht="64.5" customHeight="1">
      <c r="A25" s="11" t="s">
        <v>467</v>
      </c>
      <c r="B25" s="13" t="s">
        <v>859</v>
      </c>
      <c r="C25" s="11" t="s">
        <v>901</v>
      </c>
      <c r="D25" s="13" t="s">
        <v>902</v>
      </c>
      <c r="E25" s="13" t="s">
        <v>903</v>
      </c>
      <c r="F25" s="13" t="s">
        <v>375</v>
      </c>
      <c r="G25" s="13" t="s">
        <v>904</v>
      </c>
      <c r="H25" s="13" t="s">
        <v>905</v>
      </c>
      <c r="I25" s="13" t="s">
        <v>70</v>
      </c>
      <c r="J25" s="13" t="s">
        <v>71</v>
      </c>
      <c r="K25" s="13" t="s">
        <v>906</v>
      </c>
      <c r="L25" s="13" t="s">
        <v>907</v>
      </c>
      <c r="M25" s="19">
        <v>4.0</v>
      </c>
      <c r="N25" s="12" t="str">
        <f t="array" ref="N25">INDEX('Scoring &amp; Notes'!$B$18:$B$22,MATCH(M25,'Scoring &amp; Notes'!$A$18:$A$22,0))</f>
        <v>Likely</v>
      </c>
      <c r="O25" s="19">
        <v>2.0</v>
      </c>
      <c r="P25" s="12" t="str">
        <f t="array" ref="P25">INDEX('Scoring &amp; Notes'!$B$26:$B$30,MATCH(O25,'Scoring &amp; Notes'!$A$26:$A$30,0))</f>
        <v>Minor</v>
      </c>
      <c r="Q25" s="10">
        <f t="shared" si="1"/>
        <v>8</v>
      </c>
      <c r="R25" s="10" t="str">
        <f>IF(Q25&gt;='Scoring &amp; Notes'!$B$34,'Scoring &amp; Notes'!$A$34,IF(Q25&gt;='Scoring &amp; Notes'!$B$35,'Scoring &amp; Notes'!$A$35,IF(Q25&gt;='Scoring &amp; Notes'!$B$36,'Scoring &amp; Notes'!$A$36,'Scoring &amp; Notes'!$A$37)))</f>
        <v>Medium</v>
      </c>
      <c r="S25" s="10" t="str">
        <f>IF(OR(R25='Scoring &amp; Notes'!$A$34,R25='Scoring &amp; Notes'!$A$35),"H",IF(R25='Scoring &amp; Notes'!$A$36,"M","L"))</f>
        <v>M</v>
      </c>
      <c r="T25" s="10" t="str">
        <f t="array" ref="T25">INDEX('Scoring &amp; Notes'!$D$34:$D$37,MATCH(R25,'Scoring &amp; Notes'!$A$34:$A$37,0))</f>
        <v>P3</v>
      </c>
      <c r="U25" s="13" t="s">
        <v>908</v>
      </c>
      <c r="V25" s="13" t="s">
        <v>909</v>
      </c>
      <c r="W25" s="13" t="s">
        <v>76</v>
      </c>
      <c r="X25" s="13" t="s">
        <v>910</v>
      </c>
      <c r="Y25" s="13" t="s">
        <v>896</v>
      </c>
      <c r="Z25" s="13" t="s">
        <v>79</v>
      </c>
      <c r="AA25" s="13" t="s">
        <v>911</v>
      </c>
      <c r="AB25" s="13" t="s">
        <v>912</v>
      </c>
      <c r="AC25" s="13" t="s">
        <v>900</v>
      </c>
      <c r="AD25" s="13" t="s">
        <v>124</v>
      </c>
      <c r="AE25" s="12">
        <f t="array" ref="AE25">INDEX('Scoring &amp; Notes'!$E$34:$E$37,MATCH(R25,'Scoring &amp; Notes'!$A$34:$A$37,0))</f>
        <v>90</v>
      </c>
      <c r="AF25" s="20">
        <f>'Scoring &amp; Notes'!$B$12+AE25</f>
        <v>46408</v>
      </c>
      <c r="AG25" s="12" t="s">
        <v>61</v>
      </c>
      <c r="AH25" s="13"/>
    </row>
    <row r="26" ht="51.75" customHeight="1">
      <c r="A26" s="5" t="s">
        <v>515</v>
      </c>
      <c r="B26" s="6" t="s">
        <v>103</v>
      </c>
      <c r="C26" s="5" t="s">
        <v>913</v>
      </c>
      <c r="D26" s="6" t="s">
        <v>914</v>
      </c>
      <c r="E26" s="6" t="s">
        <v>513</v>
      </c>
      <c r="F26" s="6" t="s">
        <v>375</v>
      </c>
      <c r="G26" s="6" t="s">
        <v>904</v>
      </c>
      <c r="H26" s="6" t="s">
        <v>915</v>
      </c>
      <c r="I26" s="6" t="s">
        <v>70</v>
      </c>
      <c r="J26" s="6" t="s">
        <v>71</v>
      </c>
      <c r="K26" s="6" t="s">
        <v>916</v>
      </c>
      <c r="L26" s="6" t="s">
        <v>917</v>
      </c>
      <c r="M26" s="9">
        <v>2.0</v>
      </c>
      <c r="N26" s="8" t="str">
        <f t="array" ref="N26">INDEX('Scoring &amp; Notes'!$B$18:$B$22,MATCH(M26,'Scoring &amp; Notes'!$A$18:$A$22,0))</f>
        <v>Unlikely</v>
      </c>
      <c r="O26" s="9">
        <v>4.0</v>
      </c>
      <c r="P26" s="8" t="str">
        <f t="array" ref="P26">INDEX('Scoring &amp; Notes'!$B$26:$B$30,MATCH(O26,'Scoring &amp; Notes'!$A$26:$A$30,0))</f>
        <v>Major</v>
      </c>
      <c r="Q26" s="7">
        <f t="shared" si="1"/>
        <v>8</v>
      </c>
      <c r="R26" s="7" t="str">
        <f>IF(Q26&gt;='Scoring &amp; Notes'!$B$34,'Scoring &amp; Notes'!$A$34,IF(Q26&gt;='Scoring &amp; Notes'!$B$35,'Scoring &amp; Notes'!$A$35,IF(Q26&gt;='Scoring &amp; Notes'!$B$36,'Scoring &amp; Notes'!$A$36,'Scoring &amp; Notes'!$A$37)))</f>
        <v>Medium</v>
      </c>
      <c r="S26" s="7" t="str">
        <f>IF(OR(R26='Scoring &amp; Notes'!$A$34,R26='Scoring &amp; Notes'!$A$35),"H",IF(R26='Scoring &amp; Notes'!$A$36,"M","L"))</f>
        <v>M</v>
      </c>
      <c r="T26" s="7" t="str">
        <f t="array" ref="T26">INDEX('Scoring &amp; Notes'!$D$34:$D$37,MATCH(R26,'Scoring &amp; Notes'!$A$34:$A$37,0))</f>
        <v>P3</v>
      </c>
      <c r="U26" s="6" t="s">
        <v>918</v>
      </c>
      <c r="V26" s="6" t="s">
        <v>895</v>
      </c>
      <c r="W26" s="6" t="s">
        <v>76</v>
      </c>
      <c r="X26" s="6" t="s">
        <v>77</v>
      </c>
      <c r="Y26" s="6" t="s">
        <v>896</v>
      </c>
      <c r="Z26" s="6" t="s">
        <v>897</v>
      </c>
      <c r="AA26" s="6" t="s">
        <v>919</v>
      </c>
      <c r="AB26" s="6" t="s">
        <v>920</v>
      </c>
      <c r="AC26" s="6" t="s">
        <v>921</v>
      </c>
      <c r="AD26" s="6" t="s">
        <v>124</v>
      </c>
      <c r="AE26" s="8">
        <f t="array" ref="AE26">INDEX('Scoring &amp; Notes'!$E$34:$E$37,MATCH(R26,'Scoring &amp; Notes'!$A$34:$A$37,0))</f>
        <v>90</v>
      </c>
      <c r="AF26" s="18">
        <f>'Scoring &amp; Notes'!$B$12+AE26</f>
        <v>46408</v>
      </c>
      <c r="AG26" s="8" t="s">
        <v>61</v>
      </c>
      <c r="AH26" s="6"/>
    </row>
    <row r="27" ht="51.75" customHeight="1">
      <c r="A27" s="11" t="s">
        <v>238</v>
      </c>
      <c r="B27" s="13" t="s">
        <v>103</v>
      </c>
      <c r="C27" s="11" t="s">
        <v>922</v>
      </c>
      <c r="D27" s="13" t="s">
        <v>923</v>
      </c>
      <c r="E27" s="13" t="s">
        <v>236</v>
      </c>
      <c r="F27" s="13" t="s">
        <v>924</v>
      </c>
      <c r="G27" s="13" t="s">
        <v>45</v>
      </c>
      <c r="H27" s="13" t="s">
        <v>925</v>
      </c>
      <c r="I27" s="13" t="s">
        <v>70</v>
      </c>
      <c r="J27" s="13" t="s">
        <v>156</v>
      </c>
      <c r="K27" s="13" t="s">
        <v>926</v>
      </c>
      <c r="L27" s="13" t="s">
        <v>588</v>
      </c>
      <c r="M27" s="19">
        <v>3.0</v>
      </c>
      <c r="N27" s="12" t="str">
        <f t="array" ref="N27">INDEX('Scoring &amp; Notes'!$B$18:$B$22,MATCH(M27,'Scoring &amp; Notes'!$A$18:$A$22,0))</f>
        <v>Possible</v>
      </c>
      <c r="O27" s="19">
        <v>3.0</v>
      </c>
      <c r="P27" s="12" t="str">
        <f t="array" ref="P27">INDEX('Scoring &amp; Notes'!$B$26:$B$30,MATCH(O27,'Scoring &amp; Notes'!$A$26:$A$30,0))</f>
        <v>Moderate</v>
      </c>
      <c r="Q27" s="10">
        <f t="shared" si="1"/>
        <v>9</v>
      </c>
      <c r="R27" s="10" t="str">
        <f>IF(Q27&gt;='Scoring &amp; Notes'!$B$34,'Scoring &amp; Notes'!$A$34,IF(Q27&gt;='Scoring &amp; Notes'!$B$35,'Scoring &amp; Notes'!$A$35,IF(Q27&gt;='Scoring &amp; Notes'!$B$36,'Scoring &amp; Notes'!$A$36,'Scoring &amp; Notes'!$A$37)))</f>
        <v>Medium</v>
      </c>
      <c r="S27" s="10" t="str">
        <f>IF(OR(R27='Scoring &amp; Notes'!$A$34,R27='Scoring &amp; Notes'!$A$35),"H",IF(R27='Scoring &amp; Notes'!$A$36,"M","L"))</f>
        <v>M</v>
      </c>
      <c r="T27" s="10" t="str">
        <f t="array" ref="T27">INDEX('Scoring &amp; Notes'!$D$34:$D$37,MATCH(R27,'Scoring &amp; Notes'!$A$34:$A$37,0))</f>
        <v>P3</v>
      </c>
      <c r="U27" s="13" t="s">
        <v>927</v>
      </c>
      <c r="V27" s="13" t="s">
        <v>493</v>
      </c>
      <c r="W27" s="13" t="s">
        <v>494</v>
      </c>
      <c r="X27" s="13" t="s">
        <v>495</v>
      </c>
      <c r="Y27" s="13" t="s">
        <v>496</v>
      </c>
      <c r="Z27" s="13" t="s">
        <v>56</v>
      </c>
      <c r="AA27" s="13" t="s">
        <v>928</v>
      </c>
      <c r="AB27" s="13" t="s">
        <v>929</v>
      </c>
      <c r="AC27" s="13" t="s">
        <v>930</v>
      </c>
      <c r="AD27" s="13" t="s">
        <v>60</v>
      </c>
      <c r="AE27" s="12">
        <f t="array" ref="AE27">INDEX('Scoring &amp; Notes'!$E$34:$E$37,MATCH(R27,'Scoring &amp; Notes'!$A$34:$A$37,0))</f>
        <v>90</v>
      </c>
      <c r="AF27" s="20">
        <f>'Scoring &amp; Notes'!$B$12+AE27</f>
        <v>46408</v>
      </c>
      <c r="AG27" s="12" t="s">
        <v>61</v>
      </c>
      <c r="AH27" s="13"/>
    </row>
    <row r="28" ht="39.0" customHeight="1">
      <c r="A28" s="5" t="s">
        <v>251</v>
      </c>
      <c r="B28" s="6" t="s">
        <v>103</v>
      </c>
      <c r="C28" s="5" t="s">
        <v>931</v>
      </c>
      <c r="D28" s="6" t="s">
        <v>932</v>
      </c>
      <c r="E28" s="6" t="s">
        <v>247</v>
      </c>
      <c r="F28" s="6" t="s">
        <v>933</v>
      </c>
      <c r="G28" s="6" t="s">
        <v>68</v>
      </c>
      <c r="H28" s="6" t="s">
        <v>934</v>
      </c>
      <c r="I28" s="6" t="s">
        <v>70</v>
      </c>
      <c r="J28" s="6" t="s">
        <v>71</v>
      </c>
      <c r="K28" s="6" t="s">
        <v>935</v>
      </c>
      <c r="L28" s="6" t="s">
        <v>588</v>
      </c>
      <c r="M28" s="9">
        <v>3.0</v>
      </c>
      <c r="N28" s="8" t="str">
        <f t="array" ref="N28">INDEX('Scoring &amp; Notes'!$B$18:$B$22,MATCH(M28,'Scoring &amp; Notes'!$A$18:$A$22,0))</f>
        <v>Possible</v>
      </c>
      <c r="O28" s="9">
        <v>3.0</v>
      </c>
      <c r="P28" s="8" t="str">
        <f t="array" ref="P28">INDEX('Scoring &amp; Notes'!$B$26:$B$30,MATCH(O28,'Scoring &amp; Notes'!$A$26:$A$30,0))</f>
        <v>Moderate</v>
      </c>
      <c r="Q28" s="7">
        <f t="shared" si="1"/>
        <v>9</v>
      </c>
      <c r="R28" s="7" t="str">
        <f>IF(Q28&gt;='Scoring &amp; Notes'!$B$34,'Scoring &amp; Notes'!$A$34,IF(Q28&gt;='Scoring &amp; Notes'!$B$35,'Scoring &amp; Notes'!$A$35,IF(Q28&gt;='Scoring &amp; Notes'!$B$36,'Scoring &amp; Notes'!$A$36,'Scoring &amp; Notes'!$A$37)))</f>
        <v>Medium</v>
      </c>
      <c r="S28" s="7" t="str">
        <f>IF(OR(R28='Scoring &amp; Notes'!$A$34,R28='Scoring &amp; Notes'!$A$35),"H",IF(R28='Scoring &amp; Notes'!$A$36,"M","L"))</f>
        <v>M</v>
      </c>
      <c r="T28" s="7" t="str">
        <f t="array" ref="T28">INDEX('Scoring &amp; Notes'!$D$34:$D$37,MATCH(R28,'Scoring &amp; Notes'!$A$34:$A$37,0))</f>
        <v>P3</v>
      </c>
      <c r="U28" s="6" t="s">
        <v>936</v>
      </c>
      <c r="V28" s="6" t="s">
        <v>493</v>
      </c>
      <c r="W28" s="6" t="s">
        <v>494</v>
      </c>
      <c r="X28" s="6" t="s">
        <v>495</v>
      </c>
      <c r="Y28" s="6" t="s">
        <v>496</v>
      </c>
      <c r="Z28" s="6" t="s">
        <v>56</v>
      </c>
      <c r="AA28" s="6" t="s">
        <v>937</v>
      </c>
      <c r="AB28" s="6" t="s">
        <v>938</v>
      </c>
      <c r="AC28" s="6" t="s">
        <v>939</v>
      </c>
      <c r="AD28" s="6" t="s">
        <v>789</v>
      </c>
      <c r="AE28" s="8">
        <f t="array" ref="AE28">INDEX('Scoring &amp; Notes'!$E$34:$E$37,MATCH(R28,'Scoring &amp; Notes'!$A$34:$A$37,0))</f>
        <v>90</v>
      </c>
      <c r="AF28" s="18">
        <f>'Scoring &amp; Notes'!$B$12+AE28</f>
        <v>46408</v>
      </c>
      <c r="AG28" s="8" t="s">
        <v>61</v>
      </c>
      <c r="AH28" s="6"/>
    </row>
    <row r="29" ht="39.0" customHeight="1">
      <c r="A29" s="11" t="s">
        <v>292</v>
      </c>
      <c r="B29" s="13" t="s">
        <v>103</v>
      </c>
      <c r="C29" s="11" t="s">
        <v>940</v>
      </c>
      <c r="D29" s="13" t="s">
        <v>941</v>
      </c>
      <c r="E29" s="13" t="s">
        <v>290</v>
      </c>
      <c r="F29" s="13" t="s">
        <v>942</v>
      </c>
      <c r="G29" s="13" t="s">
        <v>68</v>
      </c>
      <c r="H29" s="13" t="s">
        <v>943</v>
      </c>
      <c r="I29" s="13" t="s">
        <v>70</v>
      </c>
      <c r="J29" s="13" t="s">
        <v>71</v>
      </c>
      <c r="K29" s="13" t="s">
        <v>944</v>
      </c>
      <c r="L29" s="13" t="s">
        <v>588</v>
      </c>
      <c r="M29" s="19">
        <v>3.0</v>
      </c>
      <c r="N29" s="12" t="str">
        <f t="array" ref="N29">INDEX('Scoring &amp; Notes'!$B$18:$B$22,MATCH(M29,'Scoring &amp; Notes'!$A$18:$A$22,0))</f>
        <v>Possible</v>
      </c>
      <c r="O29" s="19">
        <v>3.0</v>
      </c>
      <c r="P29" s="12" t="str">
        <f t="array" ref="P29">INDEX('Scoring &amp; Notes'!$B$26:$B$30,MATCH(O29,'Scoring &amp; Notes'!$A$26:$A$30,0))</f>
        <v>Moderate</v>
      </c>
      <c r="Q29" s="10">
        <f t="shared" si="1"/>
        <v>9</v>
      </c>
      <c r="R29" s="10" t="str">
        <f>IF(Q29&gt;='Scoring &amp; Notes'!$B$34,'Scoring &amp; Notes'!$A$34,IF(Q29&gt;='Scoring &amp; Notes'!$B$35,'Scoring &amp; Notes'!$A$35,IF(Q29&gt;='Scoring &amp; Notes'!$B$36,'Scoring &amp; Notes'!$A$36,'Scoring &amp; Notes'!$A$37)))</f>
        <v>Medium</v>
      </c>
      <c r="S29" s="10" t="str">
        <f>IF(OR(R29='Scoring &amp; Notes'!$A$34,R29='Scoring &amp; Notes'!$A$35),"H",IF(R29='Scoring &amp; Notes'!$A$36,"M","L"))</f>
        <v>M</v>
      </c>
      <c r="T29" s="10" t="str">
        <f t="array" ref="T29">INDEX('Scoring &amp; Notes'!$D$34:$D$37,MATCH(R29,'Scoring &amp; Notes'!$A$34:$A$37,0))</f>
        <v>P3</v>
      </c>
      <c r="U29" s="13" t="s">
        <v>945</v>
      </c>
      <c r="V29" s="13" t="s">
        <v>493</v>
      </c>
      <c r="W29" s="13" t="s">
        <v>494</v>
      </c>
      <c r="X29" s="13" t="s">
        <v>495</v>
      </c>
      <c r="Y29" s="13" t="s">
        <v>496</v>
      </c>
      <c r="Z29" s="13" t="s">
        <v>56</v>
      </c>
      <c r="AA29" s="13" t="s">
        <v>946</v>
      </c>
      <c r="AB29" s="13" t="s">
        <v>947</v>
      </c>
      <c r="AC29" s="13" t="s">
        <v>948</v>
      </c>
      <c r="AD29" s="13" t="s">
        <v>60</v>
      </c>
      <c r="AE29" s="12">
        <f t="array" ref="AE29">INDEX('Scoring &amp; Notes'!$E$34:$E$37,MATCH(R29,'Scoring &amp; Notes'!$A$34:$A$37,0))</f>
        <v>90</v>
      </c>
      <c r="AF29" s="20">
        <f>'Scoring &amp; Notes'!$B$12+AE29</f>
        <v>46408</v>
      </c>
      <c r="AG29" s="12" t="s">
        <v>61</v>
      </c>
      <c r="AH29" s="13"/>
    </row>
    <row r="30" ht="25.5" customHeight="1">
      <c r="A30" s="5" t="s">
        <v>283</v>
      </c>
      <c r="B30" s="6" t="s">
        <v>103</v>
      </c>
      <c r="C30" s="5" t="s">
        <v>949</v>
      </c>
      <c r="D30" s="6" t="s">
        <v>950</v>
      </c>
      <c r="E30" s="6" t="s">
        <v>281</v>
      </c>
      <c r="F30" s="6" t="s">
        <v>951</v>
      </c>
      <c r="G30" s="6" t="s">
        <v>68</v>
      </c>
      <c r="H30" s="6" t="s">
        <v>943</v>
      </c>
      <c r="I30" s="6" t="s">
        <v>70</v>
      </c>
      <c r="J30" s="6" t="s">
        <v>71</v>
      </c>
      <c r="K30" s="6" t="s">
        <v>952</v>
      </c>
      <c r="L30" s="6" t="s">
        <v>588</v>
      </c>
      <c r="M30" s="9">
        <v>3.0</v>
      </c>
      <c r="N30" s="8" t="str">
        <f t="array" ref="N30">INDEX('Scoring &amp; Notes'!$B$18:$B$22,MATCH(M30,'Scoring &amp; Notes'!$A$18:$A$22,0))</f>
        <v>Possible</v>
      </c>
      <c r="O30" s="9">
        <v>3.0</v>
      </c>
      <c r="P30" s="8" t="str">
        <f t="array" ref="P30">INDEX('Scoring &amp; Notes'!$B$26:$B$30,MATCH(O30,'Scoring &amp; Notes'!$A$26:$A$30,0))</f>
        <v>Moderate</v>
      </c>
      <c r="Q30" s="7">
        <f t="shared" si="1"/>
        <v>9</v>
      </c>
      <c r="R30" s="7" t="str">
        <f>IF(Q30&gt;='Scoring &amp; Notes'!$B$34,'Scoring &amp; Notes'!$A$34,IF(Q30&gt;='Scoring &amp; Notes'!$B$35,'Scoring &amp; Notes'!$A$35,IF(Q30&gt;='Scoring &amp; Notes'!$B$36,'Scoring &amp; Notes'!$A$36,'Scoring &amp; Notes'!$A$37)))</f>
        <v>Medium</v>
      </c>
      <c r="S30" s="7" t="str">
        <f>IF(OR(R30='Scoring &amp; Notes'!$A$34,R30='Scoring &amp; Notes'!$A$35),"H",IF(R30='Scoring &amp; Notes'!$A$36,"M","L"))</f>
        <v>M</v>
      </c>
      <c r="T30" s="7" t="str">
        <f t="array" ref="T30">INDEX('Scoring &amp; Notes'!$D$34:$D$37,MATCH(R30,'Scoring &amp; Notes'!$A$34:$A$37,0))</f>
        <v>P3</v>
      </c>
      <c r="U30" s="6" t="s">
        <v>953</v>
      </c>
      <c r="V30" s="6" t="s">
        <v>75</v>
      </c>
      <c r="W30" s="6" t="s">
        <v>76</v>
      </c>
      <c r="X30" s="6" t="s">
        <v>77</v>
      </c>
      <c r="Y30" s="6" t="s">
        <v>78</v>
      </c>
      <c r="Z30" s="6" t="s">
        <v>79</v>
      </c>
      <c r="AA30" s="6" t="s">
        <v>954</v>
      </c>
      <c r="AB30" s="6" t="s">
        <v>955</v>
      </c>
      <c r="AC30" s="6" t="s">
        <v>956</v>
      </c>
      <c r="AD30" s="6" t="s">
        <v>124</v>
      </c>
      <c r="AE30" s="8">
        <f t="array" ref="AE30">INDEX('Scoring &amp; Notes'!$E$34:$E$37,MATCH(R30,'Scoring &amp; Notes'!$A$34:$A$37,0))</f>
        <v>90</v>
      </c>
      <c r="AF30" s="18">
        <f>'Scoring &amp; Notes'!$B$12+AE30</f>
        <v>46408</v>
      </c>
      <c r="AG30" s="8" t="s">
        <v>61</v>
      </c>
      <c r="AH30" s="6"/>
    </row>
    <row r="31" ht="51.75" customHeight="1">
      <c r="A31" s="11" t="s">
        <v>573</v>
      </c>
      <c r="B31" s="13" t="s">
        <v>103</v>
      </c>
      <c r="C31" s="11" t="s">
        <v>957</v>
      </c>
      <c r="D31" s="13" t="s">
        <v>958</v>
      </c>
      <c r="E31" s="13" t="s">
        <v>228</v>
      </c>
      <c r="F31" s="13" t="s">
        <v>252</v>
      </c>
      <c r="G31" s="13" t="s">
        <v>376</v>
      </c>
      <c r="H31" s="13" t="s">
        <v>959</v>
      </c>
      <c r="I31" s="13" t="s">
        <v>960</v>
      </c>
      <c r="J31" s="13" t="s">
        <v>961</v>
      </c>
      <c r="K31" s="13" t="s">
        <v>962</v>
      </c>
      <c r="L31" s="13" t="s">
        <v>963</v>
      </c>
      <c r="M31" s="19">
        <v>3.0</v>
      </c>
      <c r="N31" s="12" t="str">
        <f t="array" ref="N31">INDEX('Scoring &amp; Notes'!$B$18:$B$22,MATCH(M31,'Scoring &amp; Notes'!$A$18:$A$22,0))</f>
        <v>Possible</v>
      </c>
      <c r="O31" s="19">
        <v>3.0</v>
      </c>
      <c r="P31" s="12" t="str">
        <f t="array" ref="P31">INDEX('Scoring &amp; Notes'!$B$26:$B$30,MATCH(O31,'Scoring &amp; Notes'!$A$26:$A$30,0))</f>
        <v>Moderate</v>
      </c>
      <c r="Q31" s="10">
        <f t="shared" si="1"/>
        <v>9</v>
      </c>
      <c r="R31" s="10" t="str">
        <f>IF(Q31&gt;='Scoring &amp; Notes'!$B$34,'Scoring &amp; Notes'!$A$34,IF(Q31&gt;='Scoring &amp; Notes'!$B$35,'Scoring &amp; Notes'!$A$35,IF(Q31&gt;='Scoring &amp; Notes'!$B$36,'Scoring &amp; Notes'!$A$36,'Scoring &amp; Notes'!$A$37)))</f>
        <v>Medium</v>
      </c>
      <c r="S31" s="10" t="str">
        <f>IF(OR(R31='Scoring &amp; Notes'!$A$34,R31='Scoring &amp; Notes'!$A$35),"H",IF(R31='Scoring &amp; Notes'!$A$36,"M","L"))</f>
        <v>M</v>
      </c>
      <c r="T31" s="10" t="str">
        <f t="array" ref="T31">INDEX('Scoring &amp; Notes'!$D$34:$D$37,MATCH(R31,'Scoring &amp; Notes'!$A$34:$A$37,0))</f>
        <v>P3</v>
      </c>
      <c r="U31" s="13" t="s">
        <v>964</v>
      </c>
      <c r="V31" s="13" t="s">
        <v>52</v>
      </c>
      <c r="W31" s="13" t="s">
        <v>53</v>
      </c>
      <c r="X31" s="13" t="s">
        <v>54</v>
      </c>
      <c r="Y31" s="13" t="s">
        <v>55</v>
      </c>
      <c r="Z31" s="13" t="s">
        <v>56</v>
      </c>
      <c r="AA31" s="13" t="s">
        <v>965</v>
      </c>
      <c r="AB31" s="13" t="s">
        <v>966</v>
      </c>
      <c r="AC31" s="13" t="s">
        <v>967</v>
      </c>
      <c r="AD31" s="13" t="s">
        <v>60</v>
      </c>
      <c r="AE31" s="12">
        <f t="array" ref="AE31">INDEX('Scoring &amp; Notes'!$E$34:$E$37,MATCH(R31,'Scoring &amp; Notes'!$A$34:$A$37,0))</f>
        <v>90</v>
      </c>
      <c r="AF31" s="20">
        <f>'Scoring &amp; Notes'!$B$12+AE31</f>
        <v>46408</v>
      </c>
      <c r="AG31" s="12" t="s">
        <v>61</v>
      </c>
      <c r="AH31" s="13"/>
    </row>
    <row r="32" ht="51.75" customHeight="1">
      <c r="A32" s="5" t="s">
        <v>968</v>
      </c>
      <c r="B32" s="6" t="s">
        <v>103</v>
      </c>
      <c r="C32" s="5" t="s">
        <v>969</v>
      </c>
      <c r="D32" s="6" t="s">
        <v>970</v>
      </c>
      <c r="E32" s="6" t="s">
        <v>971</v>
      </c>
      <c r="F32" s="6" t="s">
        <v>972</v>
      </c>
      <c r="G32" s="6" t="s">
        <v>68</v>
      </c>
      <c r="H32" s="6" t="s">
        <v>973</v>
      </c>
      <c r="I32" s="6" t="s">
        <v>70</v>
      </c>
      <c r="J32" s="6" t="s">
        <v>71</v>
      </c>
      <c r="K32" s="6" t="s">
        <v>974</v>
      </c>
      <c r="L32" s="6" t="s">
        <v>588</v>
      </c>
      <c r="M32" s="9">
        <v>3.0</v>
      </c>
      <c r="N32" s="8" t="str">
        <f t="array" ref="N32">INDEX('Scoring &amp; Notes'!$B$18:$B$22,MATCH(M32,'Scoring &amp; Notes'!$A$18:$A$22,0))</f>
        <v>Possible</v>
      </c>
      <c r="O32" s="9">
        <v>2.0</v>
      </c>
      <c r="P32" s="8" t="str">
        <f t="array" ref="P32">INDEX('Scoring &amp; Notes'!$B$26:$B$30,MATCH(O32,'Scoring &amp; Notes'!$A$26:$A$30,0))</f>
        <v>Minor</v>
      </c>
      <c r="Q32" s="7">
        <f t="shared" si="1"/>
        <v>6</v>
      </c>
      <c r="R32" s="7" t="str">
        <f>IF(Q32&gt;='Scoring &amp; Notes'!$B$34,'Scoring &amp; Notes'!$A$34,IF(Q32&gt;='Scoring &amp; Notes'!$B$35,'Scoring &amp; Notes'!$A$35,IF(Q32&gt;='Scoring &amp; Notes'!$B$36,'Scoring &amp; Notes'!$A$36,'Scoring &amp; Notes'!$A$37)))</f>
        <v>Low</v>
      </c>
      <c r="S32" s="7" t="str">
        <f>IF(OR(R32='Scoring &amp; Notes'!$A$34,R32='Scoring &amp; Notes'!$A$35),"H",IF(R32='Scoring &amp; Notes'!$A$36,"M","L"))</f>
        <v>L</v>
      </c>
      <c r="T32" s="7" t="str">
        <f t="array" ref="T32">INDEX('Scoring &amp; Notes'!$D$34:$D$37,MATCH(R32,'Scoring &amp; Notes'!$A$34:$A$37,0))</f>
        <v>P4</v>
      </c>
      <c r="U32" s="6" t="s">
        <v>975</v>
      </c>
      <c r="V32" s="6" t="s">
        <v>201</v>
      </c>
      <c r="W32" s="6" t="s">
        <v>202</v>
      </c>
      <c r="X32" s="6" t="s">
        <v>203</v>
      </c>
      <c r="Y32" s="6" t="s">
        <v>204</v>
      </c>
      <c r="Z32" s="6" t="s">
        <v>205</v>
      </c>
      <c r="AA32" s="6" t="s">
        <v>976</v>
      </c>
      <c r="AB32" s="6" t="s">
        <v>977</v>
      </c>
      <c r="AC32" s="6" t="s">
        <v>900</v>
      </c>
      <c r="AD32" s="6" t="s">
        <v>978</v>
      </c>
      <c r="AE32" s="8">
        <f t="array" ref="AE32">INDEX('Scoring &amp; Notes'!$E$34:$E$37,MATCH(R32,'Scoring &amp; Notes'!$A$34:$A$37,0))</f>
        <v>180</v>
      </c>
      <c r="AF32" s="18">
        <f>'Scoring &amp; Notes'!$B$12+AE32</f>
        <v>46498</v>
      </c>
      <c r="AG32" s="8" t="s">
        <v>61</v>
      </c>
      <c r="AH32" s="6"/>
    </row>
    <row r="33" ht="39.0" customHeight="1">
      <c r="A33" s="11" t="s">
        <v>720</v>
      </c>
      <c r="B33" s="13" t="s">
        <v>103</v>
      </c>
      <c r="C33" s="11" t="s">
        <v>979</v>
      </c>
      <c r="D33" s="13" t="s">
        <v>980</v>
      </c>
      <c r="E33" s="13" t="s">
        <v>242</v>
      </c>
      <c r="F33" s="13" t="s">
        <v>648</v>
      </c>
      <c r="G33" s="13" t="s">
        <v>45</v>
      </c>
      <c r="H33" s="13" t="s">
        <v>981</v>
      </c>
      <c r="I33" s="13" t="s">
        <v>70</v>
      </c>
      <c r="J33" s="13" t="s">
        <v>156</v>
      </c>
      <c r="K33" s="13" t="s">
        <v>982</v>
      </c>
      <c r="L33" s="13" t="s">
        <v>355</v>
      </c>
      <c r="M33" s="19">
        <v>3.0</v>
      </c>
      <c r="N33" s="12" t="str">
        <f t="array" ref="N33">INDEX('Scoring &amp; Notes'!$B$18:$B$22,MATCH(M33,'Scoring &amp; Notes'!$A$18:$A$22,0))</f>
        <v>Possible</v>
      </c>
      <c r="O33" s="19">
        <v>2.0</v>
      </c>
      <c r="P33" s="12" t="str">
        <f t="array" ref="P33">INDEX('Scoring &amp; Notes'!$B$26:$B$30,MATCH(O33,'Scoring &amp; Notes'!$A$26:$A$30,0))</f>
        <v>Minor</v>
      </c>
      <c r="Q33" s="10">
        <f t="shared" si="1"/>
        <v>6</v>
      </c>
      <c r="R33" s="10" t="str">
        <f>IF(Q33&gt;='Scoring &amp; Notes'!$B$34,'Scoring &amp; Notes'!$A$34,IF(Q33&gt;='Scoring &amp; Notes'!$B$35,'Scoring &amp; Notes'!$A$35,IF(Q33&gt;='Scoring &amp; Notes'!$B$36,'Scoring &amp; Notes'!$A$36,'Scoring &amp; Notes'!$A$37)))</f>
        <v>Low</v>
      </c>
      <c r="S33" s="10" t="str">
        <f>IF(OR(R33='Scoring &amp; Notes'!$A$34,R33='Scoring &amp; Notes'!$A$35),"H",IF(R33='Scoring &amp; Notes'!$A$36,"M","L"))</f>
        <v>L</v>
      </c>
      <c r="T33" s="10" t="str">
        <f t="array" ref="T33">INDEX('Scoring &amp; Notes'!$D$34:$D$37,MATCH(R33,'Scoring &amp; Notes'!$A$34:$A$37,0))</f>
        <v>P4</v>
      </c>
      <c r="U33" s="13" t="s">
        <v>983</v>
      </c>
      <c r="V33" s="13" t="s">
        <v>895</v>
      </c>
      <c r="W33" s="13" t="s">
        <v>76</v>
      </c>
      <c r="X33" s="13" t="s">
        <v>77</v>
      </c>
      <c r="Y33" s="13" t="s">
        <v>896</v>
      </c>
      <c r="Z33" s="13" t="s">
        <v>897</v>
      </c>
      <c r="AA33" s="13" t="s">
        <v>984</v>
      </c>
      <c r="AB33" s="13" t="s">
        <v>985</v>
      </c>
      <c r="AC33" s="13" t="s">
        <v>900</v>
      </c>
      <c r="AD33" s="13" t="s">
        <v>688</v>
      </c>
      <c r="AE33" s="12">
        <f t="array" ref="AE33">INDEX('Scoring &amp; Notes'!$E$34:$E$37,MATCH(R33,'Scoring &amp; Notes'!$A$34:$A$37,0))</f>
        <v>180</v>
      </c>
      <c r="AF33" s="20">
        <f>'Scoring &amp; Notes'!$B$12+AE33</f>
        <v>46498</v>
      </c>
      <c r="AG33" s="12" t="s">
        <v>61</v>
      </c>
      <c r="AH33" s="13"/>
    </row>
    <row r="34" ht="39.0" customHeight="1">
      <c r="A34" s="5" t="s">
        <v>409</v>
      </c>
      <c r="B34" s="6" t="s">
        <v>859</v>
      </c>
      <c r="C34" s="5" t="s">
        <v>986</v>
      </c>
      <c r="D34" s="6" t="s">
        <v>987</v>
      </c>
      <c r="E34" s="6" t="s">
        <v>988</v>
      </c>
      <c r="F34" s="6" t="s">
        <v>375</v>
      </c>
      <c r="G34" s="6" t="s">
        <v>863</v>
      </c>
      <c r="H34" s="6" t="s">
        <v>989</v>
      </c>
      <c r="I34" s="6" t="s">
        <v>70</v>
      </c>
      <c r="J34" s="6" t="s">
        <v>156</v>
      </c>
      <c r="K34" s="6" t="s">
        <v>990</v>
      </c>
      <c r="L34" s="6" t="s">
        <v>866</v>
      </c>
      <c r="M34" s="9">
        <v>3.0</v>
      </c>
      <c r="N34" s="8" t="str">
        <f t="array" ref="N34">INDEX('Scoring &amp; Notes'!$B$18:$B$22,MATCH(M34,'Scoring &amp; Notes'!$A$18:$A$22,0))</f>
        <v>Possible</v>
      </c>
      <c r="O34" s="9">
        <v>2.0</v>
      </c>
      <c r="P34" s="8" t="str">
        <f t="array" ref="P34">INDEX('Scoring &amp; Notes'!$B$26:$B$30,MATCH(O34,'Scoring &amp; Notes'!$A$26:$A$30,0))</f>
        <v>Minor</v>
      </c>
      <c r="Q34" s="7">
        <f t="shared" si="1"/>
        <v>6</v>
      </c>
      <c r="R34" s="7" t="str">
        <f>IF(Q34&gt;='Scoring &amp; Notes'!$B$34,'Scoring &amp; Notes'!$A$34,IF(Q34&gt;='Scoring &amp; Notes'!$B$35,'Scoring &amp; Notes'!$A$35,IF(Q34&gt;='Scoring &amp; Notes'!$B$36,'Scoring &amp; Notes'!$A$36,'Scoring &amp; Notes'!$A$37)))</f>
        <v>Low</v>
      </c>
      <c r="S34" s="7" t="str">
        <f>IF(OR(R34='Scoring &amp; Notes'!$A$34,R34='Scoring &amp; Notes'!$A$35),"H",IF(R34='Scoring &amp; Notes'!$A$36,"M","L"))</f>
        <v>L</v>
      </c>
      <c r="T34" s="7" t="str">
        <f t="array" ref="T34">INDEX('Scoring &amp; Notes'!$D$34:$D$37,MATCH(R34,'Scoring &amp; Notes'!$A$34:$A$37,0))</f>
        <v>P4</v>
      </c>
      <c r="U34" s="6" t="s">
        <v>991</v>
      </c>
      <c r="V34" s="6" t="s">
        <v>909</v>
      </c>
      <c r="W34" s="6" t="s">
        <v>76</v>
      </c>
      <c r="X34" s="6" t="s">
        <v>910</v>
      </c>
      <c r="Y34" s="6" t="s">
        <v>896</v>
      </c>
      <c r="Z34" s="6" t="s">
        <v>79</v>
      </c>
      <c r="AA34" s="6" t="s">
        <v>992</v>
      </c>
      <c r="AB34" s="6" t="s">
        <v>993</v>
      </c>
      <c r="AC34" s="6" t="s">
        <v>994</v>
      </c>
      <c r="AD34" s="6" t="s">
        <v>124</v>
      </c>
      <c r="AE34" s="8">
        <f t="array" ref="AE34">INDEX('Scoring &amp; Notes'!$E$34:$E$37,MATCH(R34,'Scoring &amp; Notes'!$A$34:$A$37,0))</f>
        <v>180</v>
      </c>
      <c r="AF34" s="18">
        <f>'Scoring &amp; Notes'!$B$12+AE34</f>
        <v>46498</v>
      </c>
      <c r="AG34" s="8" t="s">
        <v>61</v>
      </c>
      <c r="AH34" s="6"/>
    </row>
    <row r="35" ht="78.0" customHeight="1">
      <c r="A35" s="11" t="s">
        <v>442</v>
      </c>
      <c r="B35" s="13" t="s">
        <v>859</v>
      </c>
      <c r="C35" s="11" t="s">
        <v>995</v>
      </c>
      <c r="D35" s="13" t="s">
        <v>996</v>
      </c>
      <c r="E35" s="13" t="s">
        <v>988</v>
      </c>
      <c r="F35" s="13" t="s">
        <v>375</v>
      </c>
      <c r="G35" s="13" t="s">
        <v>863</v>
      </c>
      <c r="H35" s="13" t="s">
        <v>997</v>
      </c>
      <c r="I35" s="13" t="s">
        <v>70</v>
      </c>
      <c r="J35" s="13" t="s">
        <v>998</v>
      </c>
      <c r="K35" s="13" t="s">
        <v>999</v>
      </c>
      <c r="L35" s="13" t="s">
        <v>866</v>
      </c>
      <c r="M35" s="19">
        <v>3.0</v>
      </c>
      <c r="N35" s="12" t="str">
        <f t="array" ref="N35">INDEX('Scoring &amp; Notes'!$B$18:$B$22,MATCH(M35,'Scoring &amp; Notes'!$A$18:$A$22,0))</f>
        <v>Possible</v>
      </c>
      <c r="O35" s="19">
        <v>2.0</v>
      </c>
      <c r="P35" s="12" t="str">
        <f t="array" ref="P35">INDEX('Scoring &amp; Notes'!$B$26:$B$30,MATCH(O35,'Scoring &amp; Notes'!$A$26:$A$30,0))</f>
        <v>Minor</v>
      </c>
      <c r="Q35" s="10">
        <f t="shared" si="1"/>
        <v>6</v>
      </c>
      <c r="R35" s="10" t="str">
        <f>IF(Q35&gt;='Scoring &amp; Notes'!$B$34,'Scoring &amp; Notes'!$A$34,IF(Q35&gt;='Scoring &amp; Notes'!$B$35,'Scoring &amp; Notes'!$A$35,IF(Q35&gt;='Scoring &amp; Notes'!$B$36,'Scoring &amp; Notes'!$A$36,'Scoring &amp; Notes'!$A$37)))</f>
        <v>Low</v>
      </c>
      <c r="S35" s="10" t="str">
        <f>IF(OR(R35='Scoring &amp; Notes'!$A$34,R35='Scoring &amp; Notes'!$A$35),"H",IF(R35='Scoring &amp; Notes'!$A$36,"M","L"))</f>
        <v>L</v>
      </c>
      <c r="T35" s="10" t="str">
        <f t="array" ref="T35">INDEX('Scoring &amp; Notes'!$D$34:$D$37,MATCH(R35,'Scoring &amp; Notes'!$A$34:$A$37,0))</f>
        <v>P4</v>
      </c>
      <c r="U35" s="13" t="s">
        <v>1000</v>
      </c>
      <c r="V35" s="13" t="s">
        <v>909</v>
      </c>
      <c r="W35" s="13" t="s">
        <v>76</v>
      </c>
      <c r="X35" s="13" t="s">
        <v>910</v>
      </c>
      <c r="Y35" s="13" t="s">
        <v>896</v>
      </c>
      <c r="Z35" s="13" t="s">
        <v>79</v>
      </c>
      <c r="AA35" s="13" t="s">
        <v>1001</v>
      </c>
      <c r="AB35" s="13" t="s">
        <v>1002</v>
      </c>
      <c r="AC35" s="13" t="s">
        <v>900</v>
      </c>
      <c r="AD35" s="13" t="s">
        <v>124</v>
      </c>
      <c r="AE35" s="12">
        <f t="array" ref="AE35">INDEX('Scoring &amp; Notes'!$E$34:$E$37,MATCH(R35,'Scoring &amp; Notes'!$A$34:$A$37,0))</f>
        <v>180</v>
      </c>
      <c r="AF35" s="20">
        <f>'Scoring &amp; Notes'!$B$12+AE35</f>
        <v>46498</v>
      </c>
      <c r="AG35" s="12" t="s">
        <v>61</v>
      </c>
      <c r="AH35" s="13"/>
    </row>
    <row r="36" ht="90.75" customHeight="1">
      <c r="A36" s="5" t="s">
        <v>418</v>
      </c>
      <c r="B36" s="6" t="s">
        <v>859</v>
      </c>
      <c r="C36" s="5" t="s">
        <v>1003</v>
      </c>
      <c r="D36" s="6" t="s">
        <v>1004</v>
      </c>
      <c r="E36" s="6" t="s">
        <v>373</v>
      </c>
      <c r="F36" s="6" t="s">
        <v>375</v>
      </c>
      <c r="G36" s="6" t="s">
        <v>863</v>
      </c>
      <c r="H36" s="6" t="s">
        <v>1005</v>
      </c>
      <c r="I36" s="6" t="s">
        <v>70</v>
      </c>
      <c r="J36" s="6" t="s">
        <v>138</v>
      </c>
      <c r="K36" s="6" t="s">
        <v>1006</v>
      </c>
      <c r="L36" s="6" t="s">
        <v>866</v>
      </c>
      <c r="M36" s="9">
        <v>3.0</v>
      </c>
      <c r="N36" s="8" t="str">
        <f t="array" ref="N36">INDEX('Scoring &amp; Notes'!$B$18:$B$22,MATCH(M36,'Scoring &amp; Notes'!$A$18:$A$22,0))</f>
        <v>Possible</v>
      </c>
      <c r="O36" s="9">
        <v>2.0</v>
      </c>
      <c r="P36" s="8" t="str">
        <f t="array" ref="P36">INDEX('Scoring &amp; Notes'!$B$26:$B$30,MATCH(O36,'Scoring &amp; Notes'!$A$26:$A$30,0))</f>
        <v>Minor</v>
      </c>
      <c r="Q36" s="7">
        <f t="shared" si="1"/>
        <v>6</v>
      </c>
      <c r="R36" s="7" t="str">
        <f>IF(Q36&gt;='Scoring &amp; Notes'!$B$34,'Scoring &amp; Notes'!$A$34,IF(Q36&gt;='Scoring &amp; Notes'!$B$35,'Scoring &amp; Notes'!$A$35,IF(Q36&gt;='Scoring &amp; Notes'!$B$36,'Scoring &amp; Notes'!$A$36,'Scoring &amp; Notes'!$A$37)))</f>
        <v>Low</v>
      </c>
      <c r="S36" s="7" t="str">
        <f>IF(OR(R36='Scoring &amp; Notes'!$A$34,R36='Scoring &amp; Notes'!$A$35),"H",IF(R36='Scoring &amp; Notes'!$A$36,"M","L"))</f>
        <v>L</v>
      </c>
      <c r="T36" s="7" t="str">
        <f t="array" ref="T36">INDEX('Scoring &amp; Notes'!$D$34:$D$37,MATCH(R36,'Scoring &amp; Notes'!$A$34:$A$37,0))</f>
        <v>P4</v>
      </c>
      <c r="U36" s="6" t="s">
        <v>1007</v>
      </c>
      <c r="V36" s="6" t="s">
        <v>895</v>
      </c>
      <c r="W36" s="6" t="s">
        <v>76</v>
      </c>
      <c r="X36" s="6" t="s">
        <v>77</v>
      </c>
      <c r="Y36" s="6" t="s">
        <v>896</v>
      </c>
      <c r="Z36" s="6" t="s">
        <v>897</v>
      </c>
      <c r="AA36" s="6" t="s">
        <v>1008</v>
      </c>
      <c r="AB36" s="6" t="s">
        <v>1009</v>
      </c>
      <c r="AC36" s="6" t="s">
        <v>1010</v>
      </c>
      <c r="AD36" s="6" t="s">
        <v>124</v>
      </c>
      <c r="AE36" s="8">
        <f t="array" ref="AE36">INDEX('Scoring &amp; Notes'!$E$34:$E$37,MATCH(R36,'Scoring &amp; Notes'!$A$34:$A$37,0))</f>
        <v>180</v>
      </c>
      <c r="AF36" s="18">
        <f>'Scoring &amp; Notes'!$B$12+AE36</f>
        <v>46498</v>
      </c>
      <c r="AG36" s="8" t="s">
        <v>61</v>
      </c>
      <c r="AH36" s="6"/>
    </row>
    <row r="37" ht="51.75" customHeight="1">
      <c r="A37" s="11" t="s">
        <v>1011</v>
      </c>
      <c r="B37" s="13" t="s">
        <v>103</v>
      </c>
      <c r="C37" s="11" t="s">
        <v>1012</v>
      </c>
      <c r="D37" s="13" t="s">
        <v>1013</v>
      </c>
      <c r="E37" s="13" t="s">
        <v>1014</v>
      </c>
      <c r="F37" s="13" t="s">
        <v>713</v>
      </c>
      <c r="G37" s="13" t="s">
        <v>68</v>
      </c>
      <c r="H37" s="13" t="s">
        <v>1015</v>
      </c>
      <c r="I37" s="13" t="s">
        <v>70</v>
      </c>
      <c r="J37" s="13" t="s">
        <v>71</v>
      </c>
      <c r="K37" s="13" t="s">
        <v>1016</v>
      </c>
      <c r="L37" s="13" t="s">
        <v>588</v>
      </c>
      <c r="M37" s="19">
        <v>2.0</v>
      </c>
      <c r="N37" s="12" t="str">
        <f t="array" ref="N37">INDEX('Scoring &amp; Notes'!$B$18:$B$22,MATCH(M37,'Scoring &amp; Notes'!$A$18:$A$22,0))</f>
        <v>Unlikely</v>
      </c>
      <c r="O37" s="19">
        <v>2.0</v>
      </c>
      <c r="P37" s="12" t="str">
        <f t="array" ref="P37">INDEX('Scoring &amp; Notes'!$B$26:$B$30,MATCH(O37,'Scoring &amp; Notes'!$A$26:$A$30,0))</f>
        <v>Minor</v>
      </c>
      <c r="Q37" s="10">
        <f t="shared" si="1"/>
        <v>4</v>
      </c>
      <c r="R37" s="10" t="str">
        <f>IF(Q37&gt;='Scoring &amp; Notes'!$B$34,'Scoring &amp; Notes'!$A$34,IF(Q37&gt;='Scoring &amp; Notes'!$B$35,'Scoring &amp; Notes'!$A$35,IF(Q37&gt;='Scoring &amp; Notes'!$B$36,'Scoring &amp; Notes'!$A$36,'Scoring &amp; Notes'!$A$37)))</f>
        <v>Low</v>
      </c>
      <c r="S37" s="10" t="str">
        <f>IF(OR(R37='Scoring &amp; Notes'!$A$34,R37='Scoring &amp; Notes'!$A$35),"H",IF(R37='Scoring &amp; Notes'!$A$36,"M","L"))</f>
        <v>L</v>
      </c>
      <c r="T37" s="10" t="str">
        <f t="array" ref="T37">INDEX('Scoring &amp; Notes'!$D$34:$D$37,MATCH(R37,'Scoring &amp; Notes'!$A$34:$A$37,0))</f>
        <v>P4</v>
      </c>
      <c r="U37" s="13" t="s">
        <v>1017</v>
      </c>
      <c r="V37" s="13" t="s">
        <v>1018</v>
      </c>
      <c r="W37" s="13" t="s">
        <v>1019</v>
      </c>
      <c r="X37" s="13" t="s">
        <v>1020</v>
      </c>
      <c r="Y37" s="13" t="s">
        <v>1021</v>
      </c>
      <c r="Z37" s="13" t="s">
        <v>71</v>
      </c>
      <c r="AA37" s="13" t="s">
        <v>1022</v>
      </c>
      <c r="AB37" s="13" t="s">
        <v>1023</v>
      </c>
      <c r="AC37" s="13" t="s">
        <v>1024</v>
      </c>
      <c r="AD37" s="13" t="s">
        <v>60</v>
      </c>
      <c r="AE37" s="12">
        <f t="array" ref="AE37">INDEX('Scoring &amp; Notes'!$E$34:$E$37,MATCH(R37,'Scoring &amp; Notes'!$A$34:$A$37,0))</f>
        <v>180</v>
      </c>
      <c r="AF37" s="20">
        <f>'Scoring &amp; Notes'!$B$12+AE37</f>
        <v>46498</v>
      </c>
      <c r="AG37" s="12" t="s">
        <v>61</v>
      </c>
      <c r="AH37" s="13"/>
    </row>
    <row r="38" ht="39.0" customHeight="1">
      <c r="A38" s="5" t="s">
        <v>310</v>
      </c>
      <c r="B38" s="6" t="s">
        <v>103</v>
      </c>
      <c r="C38" s="5" t="s">
        <v>1025</v>
      </c>
      <c r="D38" s="6" t="s">
        <v>1026</v>
      </c>
      <c r="E38" s="6" t="s">
        <v>307</v>
      </c>
      <c r="F38" s="6" t="s">
        <v>1027</v>
      </c>
      <c r="G38" s="6" t="s">
        <v>68</v>
      </c>
      <c r="H38" s="6" t="s">
        <v>943</v>
      </c>
      <c r="I38" s="6" t="s">
        <v>70</v>
      </c>
      <c r="J38" s="6" t="s">
        <v>71</v>
      </c>
      <c r="K38" s="6" t="s">
        <v>1028</v>
      </c>
      <c r="L38" s="6" t="s">
        <v>1029</v>
      </c>
      <c r="M38" s="9">
        <v>2.0</v>
      </c>
      <c r="N38" s="8" t="str">
        <f t="array" ref="N38">INDEX('Scoring &amp; Notes'!$B$18:$B$22,MATCH(M38,'Scoring &amp; Notes'!$A$18:$A$22,0))</f>
        <v>Unlikely</v>
      </c>
      <c r="O38" s="9">
        <v>3.0</v>
      </c>
      <c r="P38" s="8" t="str">
        <f t="array" ref="P38">INDEX('Scoring &amp; Notes'!$B$26:$B$30,MATCH(O38,'Scoring &amp; Notes'!$A$26:$A$30,0))</f>
        <v>Moderate</v>
      </c>
      <c r="Q38" s="7">
        <f t="shared" si="1"/>
        <v>6</v>
      </c>
      <c r="R38" s="7" t="str">
        <f>IF(Q38&gt;='Scoring &amp; Notes'!$B$34,'Scoring &amp; Notes'!$A$34,IF(Q38&gt;='Scoring &amp; Notes'!$B$35,'Scoring &amp; Notes'!$A$35,IF(Q38&gt;='Scoring &amp; Notes'!$B$36,'Scoring &amp; Notes'!$A$36,'Scoring &amp; Notes'!$A$37)))</f>
        <v>Low</v>
      </c>
      <c r="S38" s="7" t="str">
        <f>IF(OR(R38='Scoring &amp; Notes'!$A$34,R38='Scoring &amp; Notes'!$A$35),"H",IF(R38='Scoring &amp; Notes'!$A$36,"M","L"))</f>
        <v>L</v>
      </c>
      <c r="T38" s="7" t="str">
        <f t="array" ref="T38">INDEX('Scoring &amp; Notes'!$D$34:$D$37,MATCH(R38,'Scoring &amp; Notes'!$A$34:$A$37,0))</f>
        <v>P4</v>
      </c>
      <c r="U38" s="6" t="s">
        <v>1030</v>
      </c>
      <c r="V38" s="6" t="s">
        <v>75</v>
      </c>
      <c r="W38" s="6" t="s">
        <v>76</v>
      </c>
      <c r="X38" s="6" t="s">
        <v>77</v>
      </c>
      <c r="Y38" s="6" t="s">
        <v>78</v>
      </c>
      <c r="Z38" s="6" t="s">
        <v>79</v>
      </c>
      <c r="AA38" s="6" t="s">
        <v>1031</v>
      </c>
      <c r="AB38" s="6" t="s">
        <v>1032</v>
      </c>
      <c r="AC38" s="6" t="s">
        <v>1033</v>
      </c>
      <c r="AD38" s="6" t="s">
        <v>60</v>
      </c>
      <c r="AE38" s="8">
        <f t="array" ref="AE38">INDEX('Scoring &amp; Notes'!$E$34:$E$37,MATCH(R38,'Scoring &amp; Notes'!$A$34:$A$37,0))</f>
        <v>180</v>
      </c>
      <c r="AF38" s="18">
        <f>'Scoring &amp; Notes'!$B$12+AE38</f>
        <v>46498</v>
      </c>
      <c r="AG38" s="8" t="s">
        <v>61</v>
      </c>
      <c r="AH38" s="6"/>
    </row>
    <row r="39" ht="64.5" customHeight="1">
      <c r="A39" s="11" t="s">
        <v>558</v>
      </c>
      <c r="B39" s="13" t="s">
        <v>103</v>
      </c>
      <c r="C39" s="11" t="s">
        <v>1034</v>
      </c>
      <c r="D39" s="13" t="s">
        <v>1035</v>
      </c>
      <c r="E39" s="13" t="s">
        <v>1036</v>
      </c>
      <c r="F39" s="13" t="s">
        <v>1037</v>
      </c>
      <c r="G39" s="13" t="s">
        <v>45</v>
      </c>
      <c r="H39" s="13" t="s">
        <v>1038</v>
      </c>
      <c r="I39" s="13" t="s">
        <v>70</v>
      </c>
      <c r="J39" s="13" t="s">
        <v>156</v>
      </c>
      <c r="K39" s="13" t="s">
        <v>1039</v>
      </c>
      <c r="L39" s="13" t="s">
        <v>355</v>
      </c>
      <c r="M39" s="19">
        <v>3.0</v>
      </c>
      <c r="N39" s="12" t="str">
        <f t="array" ref="N39">INDEX('Scoring &amp; Notes'!$B$18:$B$22,MATCH(M39,'Scoring &amp; Notes'!$A$18:$A$22,0))</f>
        <v>Possible</v>
      </c>
      <c r="O39" s="19">
        <v>2.0</v>
      </c>
      <c r="P39" s="12" t="str">
        <f t="array" ref="P39">INDEX('Scoring &amp; Notes'!$B$26:$B$30,MATCH(O39,'Scoring &amp; Notes'!$A$26:$A$30,0))</f>
        <v>Minor</v>
      </c>
      <c r="Q39" s="10">
        <f t="shared" si="1"/>
        <v>6</v>
      </c>
      <c r="R39" s="10" t="str">
        <f>IF(Q39&gt;='Scoring &amp; Notes'!$B$34,'Scoring &amp; Notes'!$A$34,IF(Q39&gt;='Scoring &amp; Notes'!$B$35,'Scoring &amp; Notes'!$A$35,IF(Q39&gt;='Scoring &amp; Notes'!$B$36,'Scoring &amp; Notes'!$A$36,'Scoring &amp; Notes'!$A$37)))</f>
        <v>Low</v>
      </c>
      <c r="S39" s="10" t="str">
        <f>IF(OR(R39='Scoring &amp; Notes'!$A$34,R39='Scoring &amp; Notes'!$A$35),"H",IF(R39='Scoring &amp; Notes'!$A$36,"M","L"))</f>
        <v>L</v>
      </c>
      <c r="T39" s="10" t="str">
        <f t="array" ref="T39">INDEX('Scoring &amp; Notes'!$D$34:$D$37,MATCH(R39,'Scoring &amp; Notes'!$A$34:$A$37,0))</f>
        <v>P4</v>
      </c>
      <c r="U39" s="13" t="s">
        <v>1040</v>
      </c>
      <c r="V39" s="13" t="s">
        <v>895</v>
      </c>
      <c r="W39" s="13" t="s">
        <v>76</v>
      </c>
      <c r="X39" s="13" t="s">
        <v>77</v>
      </c>
      <c r="Y39" s="13" t="s">
        <v>896</v>
      </c>
      <c r="Z39" s="13" t="s">
        <v>897</v>
      </c>
      <c r="AA39" s="13" t="s">
        <v>1041</v>
      </c>
      <c r="AB39" s="13" t="s">
        <v>1042</v>
      </c>
      <c r="AC39" s="13" t="s">
        <v>900</v>
      </c>
      <c r="AD39" s="13" t="s">
        <v>789</v>
      </c>
      <c r="AE39" s="12">
        <f t="array" ref="AE39">INDEX('Scoring &amp; Notes'!$E$34:$E$37,MATCH(R39,'Scoring &amp; Notes'!$A$34:$A$37,0))</f>
        <v>180</v>
      </c>
      <c r="AF39" s="20">
        <f>'Scoring &amp; Notes'!$B$12+AE39</f>
        <v>46498</v>
      </c>
      <c r="AG39" s="12" t="s">
        <v>61</v>
      </c>
      <c r="AH39" s="13"/>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H$39"/>
  <conditionalFormatting sqref="R2:R39">
    <cfRule type="cellIs" dxfId="0" priority="1" operator="equal">
      <formula>"Critical"</formula>
    </cfRule>
  </conditionalFormatting>
  <conditionalFormatting sqref="R2:R39">
    <cfRule type="cellIs" dxfId="1" priority="2" operator="equal">
      <formula>"High"</formula>
    </cfRule>
  </conditionalFormatting>
  <conditionalFormatting sqref="R2:R39">
    <cfRule type="cellIs" dxfId="2" priority="3" operator="equal">
      <formula>"Medium"</formula>
    </cfRule>
  </conditionalFormatting>
  <conditionalFormatting sqref="R2:R39">
    <cfRule type="cellIs" dxfId="3" priority="4" operator="equal">
      <formula>"Low"</formula>
    </cfRule>
  </conditionalFormatting>
  <conditionalFormatting sqref="R2:R39">
    <cfRule type="cellIs" dxfId="4" priority="5" operator="equal">
      <formula>"Info"</formula>
    </cfRule>
  </conditionalFormatting>
  <conditionalFormatting sqref="T2:T39">
    <cfRule type="cellIs" dxfId="5" priority="6" operator="equal">
      <formula>"P1"</formula>
    </cfRule>
  </conditionalFormatting>
  <dataValidations>
    <dataValidation type="decimal" allowBlank="1" showInputMessage="1" showErrorMessage="1" prompt="Score - Enter a whole number from 1 to 5" sqref="M2:M39 O2:O39">
      <formula1>1.0</formula1>
      <formula2>5.0</formula2>
    </dataValidation>
    <dataValidation type="list" allowBlank="1" sqref="AG2:AG39">
      <formula1>"Open,In progress,Remediated,Validated closed,Risk accepted"</formula1>
    </dataValidation>
  </dataValidations>
  <printOptions/>
  <pageMargins bottom="1.0" footer="0.0" header="0.0" left="0.75" right="0.75" top="1.0"/>
  <pageSetup fitToHeight="0"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5100"/>
    <pageSetUpPr fitToPage="1"/>
  </sheetPr>
  <sheetViews>
    <sheetView showGridLines="0" workbookViewId="0"/>
  </sheetViews>
  <sheetFormatPr customHeight="1" defaultColWidth="14.43" defaultRowHeight="15.0"/>
  <cols>
    <col customWidth="1" min="1" max="1" width="20.0"/>
    <col customWidth="1" min="2" max="7" width="16.0"/>
    <col customWidth="1" min="8" max="26" width="8.71"/>
  </cols>
  <sheetData>
    <row r="1">
      <c r="A1" s="1" t="s">
        <v>0</v>
      </c>
    </row>
    <row r="2">
      <c r="A2" s="3" t="s">
        <v>2</v>
      </c>
    </row>
    <row r="4" ht="15.0" customHeight="1">
      <c r="C4" s="4" t="s">
        <v>8</v>
      </c>
    </row>
    <row r="5" ht="30.0" customHeight="1">
      <c r="A5" s="2" t="s">
        <v>16</v>
      </c>
      <c r="B5" s="2" t="s">
        <v>20</v>
      </c>
      <c r="C5" s="2" t="str">
        <f t="array" ref="C5">1&amp;" - "&amp;INDEX('Scoring &amp; Notes'!$B$18:$B$22,1)</f>
        <v>1 - Rare</v>
      </c>
      <c r="D5" s="2" t="str">
        <f t="array" ref="D5">2&amp;" - "&amp;INDEX('Scoring &amp; Notes'!$B$18:$B$22,2)</f>
        <v>2 - Unlikely</v>
      </c>
      <c r="E5" s="2" t="str">
        <f t="array" ref="E5">3&amp;" - "&amp;INDEX('Scoring &amp; Notes'!$B$18:$B$22,3)</f>
        <v>3 - Possible</v>
      </c>
      <c r="F5" s="2" t="str">
        <f t="array" ref="F5">4&amp;" - "&amp;INDEX('Scoring &amp; Notes'!$B$18:$B$22,4)</f>
        <v>4 - Likely</v>
      </c>
      <c r="G5" s="2" t="str">
        <f t="array" ref="G5">5&amp;" - "&amp;INDEX('Scoring &amp; Notes'!$B$18:$B$22,5)</f>
        <v>5 - Almost certain</v>
      </c>
    </row>
    <row r="6" ht="42.0" customHeight="1">
      <c r="A6" s="2" t="str">
        <f t="array" ref="A6">5&amp;" - "&amp;INDEX('Scoring &amp; Notes'!$B$26:$B$30,5)</f>
        <v>5 - Severe</v>
      </c>
      <c r="B6" s="7">
        <v>5.0</v>
      </c>
      <c r="C6" s="14">
        <f>COUNTIFS('Risk Register'!$M$2:$M$39,1,'Risk Register'!$O$2:$O$39,$B6)</f>
        <v>0</v>
      </c>
      <c r="D6" s="15">
        <f>COUNTIFS('Risk Register'!$M$2:$M$39,2,'Risk Register'!$O$2:$O$39,$B6)</f>
        <v>0</v>
      </c>
      <c r="E6" s="16">
        <f>COUNTIFS('Risk Register'!$M$2:$M$39,3,'Risk Register'!$O$2:$O$39,$B6)</f>
        <v>2</v>
      </c>
      <c r="F6" s="17">
        <f>COUNTIFS('Risk Register'!$M$2:$M$39,4,'Risk Register'!$O$2:$O$39,$B6)</f>
        <v>0</v>
      </c>
      <c r="G6" s="17">
        <f>COUNTIFS('Risk Register'!$M$2:$M$39,5,'Risk Register'!$O$2:$O$39,$B6)</f>
        <v>2</v>
      </c>
    </row>
    <row r="7" ht="42.0" customHeight="1">
      <c r="A7" s="2" t="str">
        <f t="array" ref="A7">4&amp;" - "&amp;INDEX('Scoring &amp; Notes'!$B$26:$B$30,4)</f>
        <v>4 - Major</v>
      </c>
      <c r="B7" s="7">
        <v>4.0</v>
      </c>
      <c r="C7" s="14">
        <f>COUNTIFS('Risk Register'!$M$2:$M$39,1,'Risk Register'!$O$2:$O$39,$B7)</f>
        <v>0</v>
      </c>
      <c r="D7" s="15">
        <f>COUNTIFS('Risk Register'!$M$2:$M$39,2,'Risk Register'!$O$2:$O$39,$B7)</f>
        <v>1</v>
      </c>
      <c r="E7" s="16">
        <f>COUNTIFS('Risk Register'!$M$2:$M$39,3,'Risk Register'!$O$2:$O$39,$B7)</f>
        <v>1</v>
      </c>
      <c r="F7" s="16">
        <f>COUNTIFS('Risk Register'!$M$2:$M$39,4,'Risk Register'!$O$2:$O$39,$B7)</f>
        <v>8</v>
      </c>
      <c r="G7" s="17">
        <f>COUNTIFS('Risk Register'!$M$2:$M$39,5,'Risk Register'!$O$2:$O$39,$B7)</f>
        <v>4</v>
      </c>
    </row>
    <row r="8" ht="42.0" customHeight="1">
      <c r="A8" s="2" t="str">
        <f t="array" ref="A8">3&amp;" - "&amp;INDEX('Scoring &amp; Notes'!$B$26:$B$30,3)</f>
        <v>3 - Moderate</v>
      </c>
      <c r="B8" s="7">
        <v>3.0</v>
      </c>
      <c r="C8" s="14">
        <f>COUNTIFS('Risk Register'!$M$2:$M$39,1,'Risk Register'!$O$2:$O$39,$B8)</f>
        <v>0</v>
      </c>
      <c r="D8" s="14">
        <f>COUNTIFS('Risk Register'!$M$2:$M$39,2,'Risk Register'!$O$2:$O$39,$B8)</f>
        <v>1</v>
      </c>
      <c r="E8" s="15">
        <f>COUNTIFS('Risk Register'!$M$2:$M$39,3,'Risk Register'!$O$2:$O$39,$B8)</f>
        <v>7</v>
      </c>
      <c r="F8" s="16">
        <f>COUNTIFS('Risk Register'!$M$2:$M$39,4,'Risk Register'!$O$2:$O$39,$B8)</f>
        <v>1</v>
      </c>
      <c r="G8" s="16">
        <f>COUNTIFS('Risk Register'!$M$2:$M$39,5,'Risk Register'!$O$2:$O$39,$B8)</f>
        <v>2</v>
      </c>
    </row>
    <row r="9" ht="42.0" customHeight="1">
      <c r="A9" s="2" t="str">
        <f t="array" ref="A9">2&amp;" - "&amp;INDEX('Scoring &amp; Notes'!$B$26:$B$30,2)</f>
        <v>2 - Minor</v>
      </c>
      <c r="B9" s="7">
        <v>2.0</v>
      </c>
      <c r="C9" s="14">
        <f>COUNTIFS('Risk Register'!$M$2:$M$39,1,'Risk Register'!$O$2:$O$39,$B9)</f>
        <v>0</v>
      </c>
      <c r="D9" s="14">
        <f>COUNTIFS('Risk Register'!$M$2:$M$39,2,'Risk Register'!$O$2:$O$39,$B9)</f>
        <v>1</v>
      </c>
      <c r="E9" s="14">
        <f>COUNTIFS('Risk Register'!$M$2:$M$39,3,'Risk Register'!$O$2:$O$39,$B9)</f>
        <v>6</v>
      </c>
      <c r="F9" s="15">
        <f>COUNTIFS('Risk Register'!$M$2:$M$39,4,'Risk Register'!$O$2:$O$39,$B9)</f>
        <v>2</v>
      </c>
      <c r="G9" s="15">
        <f>COUNTIFS('Risk Register'!$M$2:$M$39,5,'Risk Register'!$O$2:$O$39,$B9)</f>
        <v>0</v>
      </c>
    </row>
    <row r="10" ht="42.0" customHeight="1">
      <c r="A10" s="2" t="str">
        <f t="array" ref="A10">1&amp;" - "&amp;INDEX('Scoring &amp; Notes'!$B$26:$B$30,1)</f>
        <v>1 - Insignificant</v>
      </c>
      <c r="B10" s="7">
        <v>1.0</v>
      </c>
      <c r="C10" s="14">
        <f>COUNTIFS('Risk Register'!$M$2:$M$39,1,'Risk Register'!$O$2:$O$39,$B10)</f>
        <v>0</v>
      </c>
      <c r="D10" s="14">
        <f>COUNTIFS('Risk Register'!$M$2:$M$39,2,'Risk Register'!$O$2:$O$39,$B10)</f>
        <v>0</v>
      </c>
      <c r="E10" s="14">
        <f>COUNTIFS('Risk Register'!$M$2:$M$39,3,'Risk Register'!$O$2:$O$39,$B10)</f>
        <v>0</v>
      </c>
      <c r="F10" s="14">
        <f>COUNTIFS('Risk Register'!$M$2:$M$39,4,'Risk Register'!$O$2:$O$39,$B10)</f>
        <v>0</v>
      </c>
      <c r="G10" s="14">
        <f>COUNTIFS('Risk Register'!$M$2:$M$39,5,'Risk Register'!$O$2:$O$39,$B10)</f>
        <v>0</v>
      </c>
    </row>
    <row r="12">
      <c r="A12" s="23" t="s">
        <v>126</v>
      </c>
    </row>
    <row r="13">
      <c r="A13" s="24" t="s">
        <v>48</v>
      </c>
      <c r="C13" s="25" t="s">
        <v>134</v>
      </c>
      <c r="D13" s="26" t="s">
        <v>137</v>
      </c>
      <c r="E13" s="27" t="s">
        <v>138</v>
      </c>
    </row>
    <row r="14">
      <c r="A14" s="28" t="s">
        <v>139</v>
      </c>
      <c r="C14" s="29">
        <f>SUM(C6:G10)</f>
        <v>38</v>
      </c>
    </row>
    <row r="16">
      <c r="A16" s="3" t="s">
        <v>140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4:G4"/>
  </mergeCell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3" width="8.0"/>
    <col customWidth="1" min="4" max="4" width="14.0"/>
    <col customWidth="1" min="5" max="5" width="44.0"/>
    <col customWidth="1" min="6" max="6" width="52.0"/>
    <col customWidth="1" min="7" max="7" width="24.0"/>
    <col customWidth="1" min="8" max="26" width="8.71"/>
  </cols>
  <sheetData>
    <row r="1">
      <c r="A1" s="1" t="s">
        <v>217</v>
      </c>
    </row>
    <row r="2">
      <c r="A2" s="3" t="s">
        <v>218</v>
      </c>
    </row>
    <row r="4">
      <c r="A4" s="2" t="s">
        <v>199</v>
      </c>
      <c r="B4" s="2" t="s">
        <v>219</v>
      </c>
      <c r="C4" s="2" t="s">
        <v>220</v>
      </c>
      <c r="D4" s="2" t="s">
        <v>221</v>
      </c>
      <c r="E4" s="2" t="s">
        <v>222</v>
      </c>
      <c r="F4" s="2" t="s">
        <v>223</v>
      </c>
      <c r="G4" s="2" t="s">
        <v>224</v>
      </c>
    </row>
    <row r="5" ht="27.75" customHeight="1">
      <c r="A5" s="7">
        <v>21.0</v>
      </c>
      <c r="B5" s="8" t="s">
        <v>225</v>
      </c>
      <c r="C5" s="8" t="s">
        <v>226</v>
      </c>
      <c r="D5" s="6" t="s">
        <v>227</v>
      </c>
      <c r="E5" s="6" t="s">
        <v>228</v>
      </c>
      <c r="F5" s="6" t="s">
        <v>229</v>
      </c>
      <c r="G5" s="6" t="s">
        <v>230</v>
      </c>
    </row>
    <row r="6" ht="27.75" customHeight="1">
      <c r="A6" s="10">
        <v>22.0</v>
      </c>
      <c r="B6" s="12" t="s">
        <v>225</v>
      </c>
      <c r="C6" s="12" t="s">
        <v>226</v>
      </c>
      <c r="D6" s="13" t="s">
        <v>235</v>
      </c>
      <c r="E6" s="13" t="s">
        <v>236</v>
      </c>
      <c r="F6" s="13" t="s">
        <v>237</v>
      </c>
      <c r="G6" s="13" t="s">
        <v>238</v>
      </c>
    </row>
    <row r="7" ht="27.75" customHeight="1">
      <c r="A7" s="7">
        <v>23.0</v>
      </c>
      <c r="B7" s="8" t="s">
        <v>225</v>
      </c>
      <c r="C7" s="8" t="s">
        <v>226</v>
      </c>
      <c r="D7" s="6" t="s">
        <v>239</v>
      </c>
      <c r="E7" s="6" t="s">
        <v>193</v>
      </c>
      <c r="F7" s="6" t="s">
        <v>240</v>
      </c>
      <c r="G7" s="6" t="s">
        <v>190</v>
      </c>
    </row>
    <row r="8" ht="27.75" customHeight="1">
      <c r="A8" s="10">
        <v>25.0</v>
      </c>
      <c r="B8" s="12" t="s">
        <v>225</v>
      </c>
      <c r="C8" s="12" t="s">
        <v>226</v>
      </c>
      <c r="D8" s="13" t="s">
        <v>241</v>
      </c>
      <c r="E8" s="13" t="s">
        <v>242</v>
      </c>
      <c r="F8" s="13" t="s">
        <v>243</v>
      </c>
      <c r="G8" s="13" t="s">
        <v>244</v>
      </c>
    </row>
    <row r="9" ht="27.75" customHeight="1">
      <c r="A9" s="7">
        <v>53.0</v>
      </c>
      <c r="B9" s="8" t="s">
        <v>225</v>
      </c>
      <c r="C9" s="8" t="s">
        <v>226</v>
      </c>
      <c r="D9" s="6" t="s">
        <v>246</v>
      </c>
      <c r="E9" s="6" t="s">
        <v>247</v>
      </c>
      <c r="F9" s="6" t="s">
        <v>249</v>
      </c>
      <c r="G9" s="6" t="s">
        <v>251</v>
      </c>
    </row>
    <row r="10" ht="27.75" customHeight="1">
      <c r="A10" s="10">
        <v>80.0</v>
      </c>
      <c r="B10" s="12" t="s">
        <v>225</v>
      </c>
      <c r="C10" s="12" t="s">
        <v>226</v>
      </c>
      <c r="D10" s="13" t="s">
        <v>254</v>
      </c>
      <c r="E10" s="13" t="s">
        <v>256</v>
      </c>
      <c r="F10" s="13" t="s">
        <v>258</v>
      </c>
      <c r="G10" s="13" t="s">
        <v>260</v>
      </c>
    </row>
    <row r="11" ht="27.75" customHeight="1">
      <c r="A11" s="7">
        <v>111.0</v>
      </c>
      <c r="B11" s="8" t="s">
        <v>225</v>
      </c>
      <c r="C11" s="8" t="s">
        <v>226</v>
      </c>
      <c r="D11" s="6" t="s">
        <v>261</v>
      </c>
      <c r="E11" s="6" t="s">
        <v>262</v>
      </c>
      <c r="F11" s="6" t="s">
        <v>263</v>
      </c>
      <c r="G11" s="6" t="s">
        <v>264</v>
      </c>
    </row>
    <row r="12" ht="27.75" customHeight="1">
      <c r="A12" s="10">
        <v>139.0</v>
      </c>
      <c r="B12" s="12" t="s">
        <v>225</v>
      </c>
      <c r="C12" s="12" t="s">
        <v>226</v>
      </c>
      <c r="D12" s="13" t="s">
        <v>265</v>
      </c>
      <c r="E12" s="13" t="s">
        <v>266</v>
      </c>
      <c r="F12" s="13" t="s">
        <v>267</v>
      </c>
      <c r="G12" s="13" t="s">
        <v>268</v>
      </c>
    </row>
    <row r="13" ht="27.75" customHeight="1">
      <c r="A13" s="7">
        <v>445.0</v>
      </c>
      <c r="B13" s="8" t="s">
        <v>225</v>
      </c>
      <c r="C13" s="8" t="s">
        <v>226</v>
      </c>
      <c r="D13" s="6" t="s">
        <v>265</v>
      </c>
      <c r="E13" s="6" t="s">
        <v>269</v>
      </c>
      <c r="F13" s="6" t="s">
        <v>270</v>
      </c>
      <c r="G13" s="6" t="s">
        <v>271</v>
      </c>
    </row>
    <row r="14" ht="27.75" customHeight="1">
      <c r="A14" s="10">
        <v>512.0</v>
      </c>
      <c r="B14" s="12" t="s">
        <v>225</v>
      </c>
      <c r="C14" s="12" t="s">
        <v>226</v>
      </c>
      <c r="D14" s="13" t="s">
        <v>272</v>
      </c>
      <c r="E14" s="13" t="s">
        <v>273</v>
      </c>
      <c r="F14" s="13" t="s">
        <v>274</v>
      </c>
      <c r="G14" s="13" t="s">
        <v>209</v>
      </c>
    </row>
    <row r="15" ht="27.75" customHeight="1">
      <c r="A15" s="7">
        <v>513.0</v>
      </c>
      <c r="B15" s="8" t="s">
        <v>225</v>
      </c>
      <c r="C15" s="8" t="s">
        <v>226</v>
      </c>
      <c r="D15" s="6" t="s">
        <v>275</v>
      </c>
      <c r="E15" s="6" t="s">
        <v>276</v>
      </c>
      <c r="F15" s="6" t="s">
        <v>277</v>
      </c>
      <c r="G15" s="6" t="s">
        <v>209</v>
      </c>
    </row>
    <row r="16" ht="27.75" customHeight="1">
      <c r="A16" s="10">
        <v>514.0</v>
      </c>
      <c r="B16" s="12" t="s">
        <v>225</v>
      </c>
      <c r="C16" s="12" t="s">
        <v>226</v>
      </c>
      <c r="D16" s="13" t="s">
        <v>278</v>
      </c>
      <c r="E16" s="13" t="s">
        <v>279</v>
      </c>
      <c r="F16" s="13" t="s">
        <v>274</v>
      </c>
      <c r="G16" s="13" t="s">
        <v>209</v>
      </c>
    </row>
    <row r="17" ht="27.75" customHeight="1">
      <c r="A17" s="7">
        <v>1099.0</v>
      </c>
      <c r="B17" s="8" t="s">
        <v>225</v>
      </c>
      <c r="C17" s="8" t="s">
        <v>226</v>
      </c>
      <c r="D17" s="6" t="s">
        <v>280</v>
      </c>
      <c r="E17" s="6" t="s">
        <v>281</v>
      </c>
      <c r="F17" s="6" t="s">
        <v>282</v>
      </c>
      <c r="G17" s="6" t="s">
        <v>283</v>
      </c>
    </row>
    <row r="18" ht="27.75" customHeight="1">
      <c r="A18" s="10">
        <v>1524.0</v>
      </c>
      <c r="B18" s="12" t="s">
        <v>225</v>
      </c>
      <c r="C18" s="12" t="s">
        <v>226</v>
      </c>
      <c r="D18" s="13" t="s">
        <v>66</v>
      </c>
      <c r="E18" s="13" t="s">
        <v>284</v>
      </c>
      <c r="F18" s="13" t="s">
        <v>285</v>
      </c>
      <c r="G18" s="13" t="s">
        <v>62</v>
      </c>
    </row>
    <row r="19" ht="27.75" customHeight="1">
      <c r="A19" s="7">
        <v>2049.0</v>
      </c>
      <c r="B19" s="8" t="s">
        <v>225</v>
      </c>
      <c r="C19" s="8" t="s">
        <v>226</v>
      </c>
      <c r="D19" s="6" t="s">
        <v>286</v>
      </c>
      <c r="E19" s="6" t="s">
        <v>287</v>
      </c>
      <c r="F19" s="6" t="s">
        <v>288</v>
      </c>
      <c r="G19" s="6" t="s">
        <v>289</v>
      </c>
    </row>
    <row r="20" ht="27.75" customHeight="1">
      <c r="A20" s="10">
        <v>2121.0</v>
      </c>
      <c r="B20" s="12" t="s">
        <v>225</v>
      </c>
      <c r="C20" s="12" t="s">
        <v>226</v>
      </c>
      <c r="D20" s="13" t="s">
        <v>227</v>
      </c>
      <c r="E20" s="13" t="s">
        <v>290</v>
      </c>
      <c r="F20" s="13" t="s">
        <v>291</v>
      </c>
      <c r="G20" s="13" t="s">
        <v>292</v>
      </c>
    </row>
    <row r="21" ht="27.75" customHeight="1">
      <c r="A21" s="7">
        <v>3306.0</v>
      </c>
      <c r="B21" s="8" t="s">
        <v>225</v>
      </c>
      <c r="C21" s="8" t="s">
        <v>226</v>
      </c>
      <c r="D21" s="6" t="s">
        <v>293</v>
      </c>
      <c r="E21" s="6" t="s">
        <v>294</v>
      </c>
      <c r="F21" s="6" t="s">
        <v>295</v>
      </c>
      <c r="G21" s="6" t="s">
        <v>296</v>
      </c>
    </row>
    <row r="22" ht="27.75" customHeight="1">
      <c r="A22" s="10">
        <v>3632.0</v>
      </c>
      <c r="B22" s="12" t="s">
        <v>225</v>
      </c>
      <c r="C22" s="12" t="s">
        <v>226</v>
      </c>
      <c r="D22" s="13" t="s">
        <v>297</v>
      </c>
      <c r="E22" s="13" t="s">
        <v>298</v>
      </c>
      <c r="F22" s="13" t="s">
        <v>299</v>
      </c>
      <c r="G22" s="13" t="s">
        <v>127</v>
      </c>
    </row>
    <row r="23" ht="27.75" customHeight="1">
      <c r="A23" s="7">
        <v>5432.0</v>
      </c>
      <c r="B23" s="8" t="s">
        <v>225</v>
      </c>
      <c r="C23" s="8" t="s">
        <v>226</v>
      </c>
      <c r="D23" s="6" t="s">
        <v>300</v>
      </c>
      <c r="E23" s="6" t="s">
        <v>301</v>
      </c>
      <c r="F23" s="6" t="s">
        <v>302</v>
      </c>
      <c r="G23" s="6" t="s">
        <v>303</v>
      </c>
    </row>
    <row r="24" ht="27.75" customHeight="1">
      <c r="A24" s="10">
        <v>5900.0</v>
      </c>
      <c r="B24" s="12" t="s">
        <v>225</v>
      </c>
      <c r="C24" s="12" t="s">
        <v>226</v>
      </c>
      <c r="D24" s="13" t="s">
        <v>304</v>
      </c>
      <c r="E24" s="13" t="s">
        <v>305</v>
      </c>
      <c r="F24" s="13" t="s">
        <v>306</v>
      </c>
      <c r="G24" s="13" t="s">
        <v>147</v>
      </c>
    </row>
    <row r="25" ht="27.75" customHeight="1">
      <c r="A25" s="7">
        <v>6000.0</v>
      </c>
      <c r="B25" s="8" t="s">
        <v>225</v>
      </c>
      <c r="C25" s="8" t="s">
        <v>226</v>
      </c>
      <c r="D25" s="6" t="s">
        <v>307</v>
      </c>
      <c r="E25" s="6" t="s">
        <v>308</v>
      </c>
      <c r="F25" s="6" t="s">
        <v>309</v>
      </c>
      <c r="G25" s="6" t="s">
        <v>310</v>
      </c>
    </row>
    <row r="26" ht="27.75" customHeight="1">
      <c r="A26" s="10">
        <v>6667.0</v>
      </c>
      <c r="B26" s="12" t="s">
        <v>225</v>
      </c>
      <c r="C26" s="12" t="s">
        <v>226</v>
      </c>
      <c r="D26" s="13" t="s">
        <v>312</v>
      </c>
      <c r="E26" s="13" t="s">
        <v>171</v>
      </c>
      <c r="F26" s="13" t="s">
        <v>315</v>
      </c>
      <c r="G26" s="13" t="s">
        <v>63</v>
      </c>
    </row>
    <row r="27" ht="27.75" customHeight="1">
      <c r="A27" s="7">
        <v>6697.0</v>
      </c>
      <c r="B27" s="8" t="s">
        <v>225</v>
      </c>
      <c r="C27" s="8" t="s">
        <v>226</v>
      </c>
      <c r="D27" s="6" t="s">
        <v>312</v>
      </c>
      <c r="E27" s="6" t="s">
        <v>171</v>
      </c>
      <c r="F27" s="6" t="s">
        <v>315</v>
      </c>
      <c r="G27" s="6" t="s">
        <v>63</v>
      </c>
    </row>
    <row r="28" ht="27.75" customHeight="1">
      <c r="A28" s="10">
        <v>8009.0</v>
      </c>
      <c r="B28" s="12" t="s">
        <v>225</v>
      </c>
      <c r="C28" s="12" t="s">
        <v>226</v>
      </c>
      <c r="D28" s="13" t="s">
        <v>317</v>
      </c>
      <c r="E28" s="13" t="s">
        <v>318</v>
      </c>
      <c r="F28" s="13" t="s">
        <v>319</v>
      </c>
      <c r="G28" s="13" t="s">
        <v>102</v>
      </c>
    </row>
    <row r="29" ht="27.75" customHeight="1">
      <c r="A29" s="7">
        <v>8180.0</v>
      </c>
      <c r="B29" s="8" t="s">
        <v>225</v>
      </c>
      <c r="C29" s="8" t="s">
        <v>226</v>
      </c>
      <c r="D29" s="6" t="s">
        <v>254</v>
      </c>
      <c r="E29" s="6" t="s">
        <v>320</v>
      </c>
      <c r="F29" s="6" t="s">
        <v>321</v>
      </c>
      <c r="G29" s="6" t="s">
        <v>322</v>
      </c>
    </row>
    <row r="30" ht="27.75" customHeight="1">
      <c r="A30" s="10">
        <v>8787.0</v>
      </c>
      <c r="B30" s="12" t="s">
        <v>225</v>
      </c>
      <c r="C30" s="12" t="s">
        <v>226</v>
      </c>
      <c r="D30" s="13" t="s">
        <v>323</v>
      </c>
      <c r="E30" s="13" t="s">
        <v>324</v>
      </c>
      <c r="F30" s="13" t="s">
        <v>325</v>
      </c>
      <c r="G30" s="13" t="s">
        <v>327</v>
      </c>
    </row>
    <row r="31" ht="27.75" customHeight="1">
      <c r="A31" s="7">
        <v>54313.0</v>
      </c>
      <c r="B31" s="8" t="s">
        <v>225</v>
      </c>
      <c r="C31" s="8" t="s">
        <v>226</v>
      </c>
      <c r="D31" s="6" t="s">
        <v>333</v>
      </c>
      <c r="E31" s="6" t="s">
        <v>335</v>
      </c>
      <c r="F31" s="6" t="s">
        <v>337</v>
      </c>
      <c r="G31" s="6" t="s">
        <v>289</v>
      </c>
    </row>
    <row r="32" ht="27.75" customHeight="1">
      <c r="A32" s="10">
        <v>54570.0</v>
      </c>
      <c r="B32" s="12" t="s">
        <v>225</v>
      </c>
      <c r="C32" s="12" t="s">
        <v>226</v>
      </c>
      <c r="D32" s="13" t="s">
        <v>340</v>
      </c>
      <c r="E32" s="13" t="s">
        <v>341</v>
      </c>
      <c r="F32" s="13" t="s">
        <v>337</v>
      </c>
      <c r="G32" s="13" t="s">
        <v>289</v>
      </c>
    </row>
    <row r="33" ht="27.75" customHeight="1">
      <c r="A33" s="7">
        <v>54727.0</v>
      </c>
      <c r="B33" s="8" t="s">
        <v>225</v>
      </c>
      <c r="C33" s="8" t="s">
        <v>226</v>
      </c>
      <c r="D33" s="6" t="s">
        <v>342</v>
      </c>
      <c r="E33" s="6" t="s">
        <v>343</v>
      </c>
      <c r="F33" s="6" t="s">
        <v>337</v>
      </c>
      <c r="G33" s="6" t="s">
        <v>289</v>
      </c>
    </row>
    <row r="34" ht="27.75" customHeight="1">
      <c r="A34" s="10">
        <v>59365.0</v>
      </c>
      <c r="B34" s="12" t="s">
        <v>225</v>
      </c>
      <c r="C34" s="12" t="s">
        <v>226</v>
      </c>
      <c r="D34" s="13" t="s">
        <v>280</v>
      </c>
      <c r="E34" s="13" t="s">
        <v>281</v>
      </c>
      <c r="F34" s="13" t="s">
        <v>282</v>
      </c>
      <c r="G34" s="13" t="s">
        <v>283</v>
      </c>
    </row>
    <row r="35" ht="15.75" customHeight="1"/>
    <row r="36" ht="15.75" customHeight="1">
      <c r="D36" s="5" t="s">
        <v>344</v>
      </c>
      <c r="E36" s="7">
        <f>COUNTA(A5:A34)</f>
        <v>30</v>
      </c>
    </row>
    <row r="37" ht="15.75" customHeight="1">
      <c r="D37" s="3" t="s">
        <v>345</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34"/>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5.0"/>
    <col customWidth="1" min="2" max="2" width="36.0"/>
    <col customWidth="1" min="3" max="4" width="11.0"/>
    <col customWidth="1" min="5" max="5" width="44.0"/>
    <col customWidth="1" min="6" max="6" width="40.0"/>
    <col customWidth="1" min="7" max="7" width="10.0"/>
    <col customWidth="1" min="8" max="8" width="40.0"/>
    <col customWidth="1" min="9" max="9" width="70.0"/>
    <col customWidth="1" min="10" max="26" width="8.71"/>
  </cols>
  <sheetData>
    <row r="1">
      <c r="A1" s="1" t="s">
        <v>365</v>
      </c>
    </row>
    <row r="2">
      <c r="A2" s="3" t="s">
        <v>366</v>
      </c>
    </row>
    <row r="4">
      <c r="A4" s="2" t="s">
        <v>367</v>
      </c>
      <c r="B4" s="2" t="s">
        <v>368</v>
      </c>
      <c r="C4" s="2" t="s">
        <v>371</v>
      </c>
      <c r="D4" s="2" t="s">
        <v>374</v>
      </c>
      <c r="E4" s="2" t="s">
        <v>377</v>
      </c>
      <c r="F4" s="2" t="s">
        <v>379</v>
      </c>
      <c r="G4" s="2" t="s">
        <v>381</v>
      </c>
      <c r="H4" s="2" t="s">
        <v>384</v>
      </c>
      <c r="I4" s="2" t="s">
        <v>385</v>
      </c>
    </row>
    <row r="5" ht="30.0" customHeight="1">
      <c r="A5" s="8">
        <v>1.0</v>
      </c>
      <c r="B5" s="5" t="s">
        <v>378</v>
      </c>
      <c r="C5" s="8" t="s">
        <v>254</v>
      </c>
      <c r="D5" s="8" t="s">
        <v>134</v>
      </c>
      <c r="E5" s="6" t="s">
        <v>386</v>
      </c>
      <c r="F5" s="6"/>
      <c r="G5" s="8" t="s">
        <v>369</v>
      </c>
      <c r="H5" s="6" t="str">
        <f t="array" ref="H5">INDEX('Risk Register'!$C$2:$C$39,MATCH(G5,'Risk Register'!$A$2:$A$39,0))</f>
        <v>PHP-CGI argument injection</v>
      </c>
      <c r="I5" s="6" t="s">
        <v>389</v>
      </c>
    </row>
    <row r="6" ht="18.0" customHeight="1">
      <c r="A6" s="12">
        <v>2.0</v>
      </c>
      <c r="B6" s="11" t="s">
        <v>390</v>
      </c>
      <c r="C6" s="12" t="s">
        <v>254</v>
      </c>
      <c r="D6" s="12" t="s">
        <v>156</v>
      </c>
      <c r="E6" s="13" t="s">
        <v>391</v>
      </c>
      <c r="F6" s="13" t="s">
        <v>392</v>
      </c>
      <c r="G6" s="12" t="s">
        <v>393</v>
      </c>
      <c r="H6" s="13" t="str">
        <f t="array" ref="H6">INDEX('Risk Register'!$C$2:$C$39,MATCH(G6,'Risk Register'!$A$2:$A$39,0))</f>
        <v>phpMyAdmin administration interface exposed</v>
      </c>
      <c r="I6" s="13" t="s">
        <v>397</v>
      </c>
    </row>
    <row r="7" ht="18.0" customHeight="1">
      <c r="A7" s="8">
        <v>3.0</v>
      </c>
      <c r="B7" s="5" t="s">
        <v>398</v>
      </c>
      <c r="C7" s="8" t="s">
        <v>254</v>
      </c>
      <c r="D7" s="8" t="s">
        <v>138</v>
      </c>
      <c r="E7" s="6" t="s">
        <v>399</v>
      </c>
      <c r="F7" s="6" t="s">
        <v>400</v>
      </c>
      <c r="G7" s="8" t="s">
        <v>401</v>
      </c>
      <c r="H7" s="6" t="str">
        <f t="array" ref="H7">INDEX('Risk Register'!$C$2:$C$39,MATCH(G7,'Risk Register'!$A$2:$A$39,0))</f>
        <v>phpinfo() test script exposed</v>
      </c>
      <c r="I7" s="6" t="s">
        <v>406</v>
      </c>
    </row>
    <row r="8" ht="18.0" customHeight="1">
      <c r="A8" s="12">
        <v>4.0</v>
      </c>
      <c r="B8" s="11" t="s">
        <v>407</v>
      </c>
      <c r="C8" s="12" t="s">
        <v>254</v>
      </c>
      <c r="D8" s="12" t="s">
        <v>156</v>
      </c>
      <c r="E8" s="13" t="s">
        <v>408</v>
      </c>
      <c r="F8" s="13"/>
      <c r="G8" s="12" t="s">
        <v>409</v>
      </c>
      <c r="H8" s="13" t="str">
        <f t="array" ref="H8">INDEX('Risk Register'!$C$2:$C$39,MATCH(G8,'Risk Register'!$A$2:$A$39,0))</f>
        <v>HTTP TRACE method enabled</v>
      </c>
      <c r="I8" s="13" t="s">
        <v>414</v>
      </c>
    </row>
    <row r="9" ht="30.0" customHeight="1">
      <c r="A9" s="8">
        <v>5.0</v>
      </c>
      <c r="B9" s="5" t="s">
        <v>415</v>
      </c>
      <c r="C9" s="8" t="s">
        <v>254</v>
      </c>
      <c r="D9" s="8" t="s">
        <v>138</v>
      </c>
      <c r="E9" s="6" t="s">
        <v>416</v>
      </c>
      <c r="F9" s="6" t="s">
        <v>417</v>
      </c>
      <c r="G9" s="8" t="s">
        <v>418</v>
      </c>
      <c r="H9" s="6" t="str">
        <f t="array" ref="H9">INDEX('Risk Register'!$C$2:$C$39,MATCH(G9,'Risk Register'!$A$2:$A$39,0))</f>
        <v>Information leakage through headers, ETag and error behaviour</v>
      </c>
      <c r="I9" s="6" t="s">
        <v>419</v>
      </c>
    </row>
    <row r="10" ht="18.0" customHeight="1">
      <c r="A10" s="12">
        <v>6.0</v>
      </c>
      <c r="B10" s="11" t="s">
        <v>420</v>
      </c>
      <c r="C10" s="12" t="s">
        <v>254</v>
      </c>
      <c r="D10" s="12" t="s">
        <v>156</v>
      </c>
      <c r="E10" s="13" t="s">
        <v>408</v>
      </c>
      <c r="F10" s="13" t="s">
        <v>422</v>
      </c>
      <c r="G10" s="12" t="s">
        <v>421</v>
      </c>
      <c r="H10" s="13" t="str">
        <f t="array" ref="H10">INDEX('Risk Register'!$C$2:$C$39,MATCH(G10,'Risk Register'!$A$2:$A$39,0))</f>
        <v>End-of-life web stack: Apache 2.2.8 and PHP 5.2.4</v>
      </c>
      <c r="I10" s="13" t="s">
        <v>435</v>
      </c>
    </row>
    <row r="11" ht="18.0" customHeight="1">
      <c r="A11" s="8">
        <v>7.0</v>
      </c>
      <c r="B11" s="5" t="s">
        <v>436</v>
      </c>
      <c r="C11" s="8" t="s">
        <v>254</v>
      </c>
      <c r="D11" s="8" t="s">
        <v>156</v>
      </c>
      <c r="E11" s="6" t="s">
        <v>408</v>
      </c>
      <c r="F11" s="6"/>
      <c r="G11" s="8" t="s">
        <v>418</v>
      </c>
      <c r="H11" s="6" t="str">
        <f t="array" ref="H11">INDEX('Risk Register'!$C$2:$C$39,MATCH(G11,'Risk Register'!$A$2:$A$39,0))</f>
        <v>Information leakage through headers, ETag and error behaviour</v>
      </c>
      <c r="I11" s="6" t="s">
        <v>445</v>
      </c>
    </row>
    <row r="12" ht="18.0" customHeight="1">
      <c r="A12" s="12">
        <v>8.0</v>
      </c>
      <c r="B12" s="11" t="s">
        <v>447</v>
      </c>
      <c r="C12" s="12" t="s">
        <v>448</v>
      </c>
      <c r="D12" s="12" t="s">
        <v>48</v>
      </c>
      <c r="E12" s="13" t="s">
        <v>449</v>
      </c>
      <c r="F12" s="13" t="s">
        <v>451</v>
      </c>
      <c r="G12" s="12" t="s">
        <v>326</v>
      </c>
      <c r="H12" s="13" t="str">
        <f t="array" ref="H12">INDEX('Risk Register'!$C$2:$C$39,MATCH(G12,'Risk Register'!$A$2:$A$39,0))</f>
        <v>Samba 3.0.20 flagged for CVE-2026-4480 (version-based)</v>
      </c>
      <c r="I12" s="13" t="s">
        <v>461</v>
      </c>
    </row>
    <row r="13" ht="30.0" customHeight="1">
      <c r="A13" s="8">
        <v>9.0</v>
      </c>
      <c r="B13" s="5" t="s">
        <v>462</v>
      </c>
      <c r="C13" s="8" t="s">
        <v>448</v>
      </c>
      <c r="D13" s="8" t="s">
        <v>134</v>
      </c>
      <c r="E13" s="6" t="s">
        <v>466</v>
      </c>
      <c r="F13" s="6" t="s">
        <v>468</v>
      </c>
      <c r="G13" s="8" t="s">
        <v>83</v>
      </c>
      <c r="H13" s="6" t="str">
        <f t="array" ref="H13">INDEX('Risk Register'!$C$2:$C$39,MATCH(G13,'Risk Register'!$A$2:$A$39,0))</f>
        <v>PostgreSQL accessible with empty and default credentials</v>
      </c>
      <c r="I13" s="6" t="s">
        <v>476</v>
      </c>
    </row>
    <row r="14" ht="30.0" customHeight="1">
      <c r="A14" s="12">
        <v>10.0</v>
      </c>
      <c r="B14" s="11" t="s">
        <v>479</v>
      </c>
      <c r="C14" s="12" t="s">
        <v>448</v>
      </c>
      <c r="D14" s="12" t="s">
        <v>134</v>
      </c>
      <c r="E14" s="13" t="s">
        <v>480</v>
      </c>
      <c r="F14" s="13" t="s">
        <v>482</v>
      </c>
      <c r="G14" s="12" t="s">
        <v>147</v>
      </c>
      <c r="H14" s="13" t="str">
        <f t="array" ref="H14">INDEX('Risk Register'!$C$2:$C$39,MATCH(G14,'Risk Register'!$A$2:$A$39,0))</f>
        <v>VNC remote desktop with weak password and weak protocol</v>
      </c>
      <c r="I14" s="13" t="s">
        <v>502</v>
      </c>
    </row>
    <row r="15" ht="30.0" customHeight="1">
      <c r="A15" s="8">
        <v>11.0</v>
      </c>
      <c r="B15" s="5" t="s">
        <v>479</v>
      </c>
      <c r="C15" s="8" t="s">
        <v>448</v>
      </c>
      <c r="D15" s="8" t="s">
        <v>134</v>
      </c>
      <c r="E15" s="6" t="s">
        <v>480</v>
      </c>
      <c r="F15" s="6" t="s">
        <v>507</v>
      </c>
      <c r="G15" s="8" t="s">
        <v>147</v>
      </c>
      <c r="H15" s="6" t="str">
        <f t="array" ref="H15">INDEX('Risk Register'!$C$2:$C$39,MATCH(G15,'Risk Register'!$A$2:$A$39,0))</f>
        <v>VNC remote desktop with weak password and weak protocol</v>
      </c>
      <c r="I15" s="6" t="s">
        <v>516</v>
      </c>
    </row>
    <row r="16" ht="18.0" customHeight="1">
      <c r="A16" s="12">
        <v>12.0</v>
      </c>
      <c r="B16" s="11" t="s">
        <v>517</v>
      </c>
      <c r="C16" s="12" t="s">
        <v>448</v>
      </c>
      <c r="D16" s="12" t="s">
        <v>156</v>
      </c>
      <c r="E16" s="13" t="s">
        <v>449</v>
      </c>
      <c r="F16" s="13" t="s">
        <v>519</v>
      </c>
      <c r="G16" s="12" t="s">
        <v>326</v>
      </c>
      <c r="H16" s="13" t="str">
        <f t="array" ref="H16">INDEX('Risk Register'!$C$2:$C$39,MATCH(G16,'Risk Register'!$A$2:$A$39,0))</f>
        <v>Samba 3.0.20 flagged for CVE-2026-4480 (version-based)</v>
      </c>
      <c r="I16" s="13" t="s">
        <v>525</v>
      </c>
    </row>
    <row r="17" ht="30.0" customHeight="1">
      <c r="A17" s="8">
        <v>13.0</v>
      </c>
      <c r="B17" s="5" t="s">
        <v>526</v>
      </c>
      <c r="C17" s="8" t="s">
        <v>448</v>
      </c>
      <c r="D17" s="8" t="s">
        <v>134</v>
      </c>
      <c r="E17" s="6" t="s">
        <v>466</v>
      </c>
      <c r="F17" s="6" t="s">
        <v>527</v>
      </c>
      <c r="G17" s="8" t="s">
        <v>83</v>
      </c>
      <c r="H17" s="6" t="str">
        <f t="array" ref="H17">INDEX('Risk Register'!$C$2:$C$39,MATCH(G17,'Risk Register'!$A$2:$A$39,0))</f>
        <v>PostgreSQL accessible with empty and default credentials</v>
      </c>
      <c r="I17" s="6" t="s">
        <v>528</v>
      </c>
    </row>
    <row r="18" ht="30.0" customHeight="1">
      <c r="A18" s="12">
        <v>14.0</v>
      </c>
      <c r="B18" s="11" t="s">
        <v>526</v>
      </c>
      <c r="C18" s="12" t="s">
        <v>448</v>
      </c>
      <c r="D18" s="12" t="s">
        <v>134</v>
      </c>
      <c r="E18" s="13" t="s">
        <v>466</v>
      </c>
      <c r="F18" s="13" t="s">
        <v>529</v>
      </c>
      <c r="G18" s="12" t="s">
        <v>83</v>
      </c>
      <c r="H18" s="13" t="str">
        <f t="array" ref="H18">INDEX('Risk Register'!$C$2:$C$39,MATCH(G18,'Risk Register'!$A$2:$A$39,0))</f>
        <v>PostgreSQL accessible with empty and default credentials</v>
      </c>
      <c r="I18" s="13" t="s">
        <v>530</v>
      </c>
    </row>
    <row r="19" ht="30.0" customHeight="1">
      <c r="A19" s="8">
        <v>15.0</v>
      </c>
      <c r="B19" s="5" t="s">
        <v>526</v>
      </c>
      <c r="C19" s="8" t="s">
        <v>448</v>
      </c>
      <c r="D19" s="8" t="s">
        <v>134</v>
      </c>
      <c r="E19" s="6" t="s">
        <v>466</v>
      </c>
      <c r="F19" s="6" t="s">
        <v>531</v>
      </c>
      <c r="G19" s="8" t="s">
        <v>83</v>
      </c>
      <c r="H19" s="6" t="str">
        <f t="array" ref="H19">INDEX('Risk Register'!$C$2:$C$39,MATCH(G19,'Risk Register'!$A$2:$A$39,0))</f>
        <v>PostgreSQL accessible with empty and default credentials</v>
      </c>
      <c r="I19" s="6" t="s">
        <v>532</v>
      </c>
    </row>
    <row r="20" ht="30.0" customHeight="1">
      <c r="A20" s="12">
        <v>16.0</v>
      </c>
      <c r="B20" s="11" t="s">
        <v>526</v>
      </c>
      <c r="C20" s="12" t="s">
        <v>448</v>
      </c>
      <c r="D20" s="12" t="s">
        <v>134</v>
      </c>
      <c r="E20" s="13" t="s">
        <v>466</v>
      </c>
      <c r="F20" s="13" t="s">
        <v>533</v>
      </c>
      <c r="G20" s="12" t="s">
        <v>83</v>
      </c>
      <c r="H20" s="13" t="str">
        <f t="array" ref="H20">INDEX('Risk Register'!$C$2:$C$39,MATCH(G20,'Risk Register'!$A$2:$A$39,0))</f>
        <v>PostgreSQL accessible with empty and default credentials</v>
      </c>
      <c r="I20" s="13" t="s">
        <v>534</v>
      </c>
    </row>
    <row r="21" ht="18.0" customHeight="1">
      <c r="A21" s="8">
        <v>17.0</v>
      </c>
      <c r="B21" s="5" t="s">
        <v>536</v>
      </c>
      <c r="C21" s="8" t="s">
        <v>448</v>
      </c>
      <c r="D21" s="8" t="s">
        <v>156</v>
      </c>
      <c r="E21" s="6" t="s">
        <v>449</v>
      </c>
      <c r="F21" s="6" t="s">
        <v>540</v>
      </c>
      <c r="G21" s="8" t="s">
        <v>268</v>
      </c>
      <c r="H21" s="6" t="str">
        <f t="array" ref="H21">INDEX('Risk Register'!$C$2:$C$39,MATCH(G21,'Risk Register'!$A$2:$A$39,0))</f>
        <v>SMB weaknesses: SMBv1, guest access and signing disabled</v>
      </c>
      <c r="I21" s="6" t="s">
        <v>541</v>
      </c>
    </row>
    <row r="22" ht="18.0" customHeight="1">
      <c r="A22" s="12">
        <v>18.0</v>
      </c>
      <c r="B22" s="11" t="s">
        <v>542</v>
      </c>
      <c r="C22" s="12" t="s">
        <v>448</v>
      </c>
      <c r="D22" s="12" t="s">
        <v>156</v>
      </c>
      <c r="E22" s="13" t="s">
        <v>449</v>
      </c>
      <c r="F22" s="13"/>
      <c r="G22" s="12" t="s">
        <v>268</v>
      </c>
      <c r="H22" s="13" t="str">
        <f t="array" ref="H22">INDEX('Risk Register'!$C$2:$C$39,MATCH(G22,'Risk Register'!$A$2:$A$39,0))</f>
        <v>SMB weaknesses: SMBv1, guest access and signing disabled</v>
      </c>
      <c r="I22" s="13" t="s">
        <v>549</v>
      </c>
    </row>
    <row r="23" ht="18.0" customHeight="1">
      <c r="A23" s="8">
        <v>19.0</v>
      </c>
      <c r="B23" s="5" t="s">
        <v>550</v>
      </c>
      <c r="C23" s="8" t="s">
        <v>448</v>
      </c>
      <c r="D23" s="8" t="s">
        <v>156</v>
      </c>
      <c r="E23" s="6" t="s">
        <v>449</v>
      </c>
      <c r="F23" s="6" t="s">
        <v>551</v>
      </c>
      <c r="G23" s="8" t="s">
        <v>268</v>
      </c>
      <c r="H23" s="6" t="str">
        <f t="array" ref="H23">INDEX('Risk Register'!$C$2:$C$39,MATCH(G23,'Risk Register'!$A$2:$A$39,0))</f>
        <v>SMB weaknesses: SMBv1, guest access and signing disabled</v>
      </c>
      <c r="I23" s="6" t="s">
        <v>552</v>
      </c>
    </row>
    <row r="24" ht="18.0" customHeight="1">
      <c r="A24" s="12">
        <v>20.0</v>
      </c>
      <c r="B24" s="11" t="s">
        <v>553</v>
      </c>
      <c r="C24" s="12" t="s">
        <v>448</v>
      </c>
      <c r="D24" s="12" t="s">
        <v>48</v>
      </c>
      <c r="E24" s="13" t="s">
        <v>466</v>
      </c>
      <c r="F24" s="13"/>
      <c r="G24" s="12" t="s">
        <v>83</v>
      </c>
      <c r="H24" s="13" t="str">
        <f t="array" ref="H24">INDEX('Risk Register'!$C$2:$C$39,MATCH(G24,'Risk Register'!$A$2:$A$39,0))</f>
        <v>PostgreSQL accessible with empty and default credentials</v>
      </c>
      <c r="I24" s="13" t="s">
        <v>554</v>
      </c>
    </row>
    <row r="25" ht="18.0" customHeight="1">
      <c r="A25" s="8">
        <v>21.0</v>
      </c>
      <c r="B25" s="5" t="s">
        <v>555</v>
      </c>
      <c r="C25" s="8" t="s">
        <v>448</v>
      </c>
      <c r="D25" s="8" t="s">
        <v>156</v>
      </c>
      <c r="E25" s="6" t="s">
        <v>556</v>
      </c>
      <c r="F25" s="6" t="s">
        <v>557</v>
      </c>
      <c r="G25" s="8" t="s">
        <v>558</v>
      </c>
      <c r="H25" s="6" t="str">
        <f t="array" ref="H25">INDEX('Risk Register'!$C$2:$C$39,MATCH(G25,'Risk Register'!$A$2:$A$39,0))</f>
        <v>NetBIOS and RPC information disclosure</v>
      </c>
      <c r="I25" s="6" t="s">
        <v>559</v>
      </c>
    </row>
    <row r="26" ht="18.0" customHeight="1">
      <c r="A26" s="12">
        <v>22.0</v>
      </c>
      <c r="B26" s="11" t="s">
        <v>560</v>
      </c>
      <c r="C26" s="12" t="s">
        <v>448</v>
      </c>
      <c r="D26" s="12" t="s">
        <v>156</v>
      </c>
      <c r="E26" s="13" t="s">
        <v>561</v>
      </c>
      <c r="F26" s="13" t="s">
        <v>562</v>
      </c>
      <c r="G26" s="12" t="s">
        <v>558</v>
      </c>
      <c r="H26" s="13" t="str">
        <f t="array" ref="H26">INDEX('Risk Register'!$C$2:$C$39,MATCH(G26,'Risk Register'!$A$2:$A$39,0))</f>
        <v>NetBIOS and RPC information disclosure</v>
      </c>
      <c r="I26" s="13" t="s">
        <v>563</v>
      </c>
    </row>
    <row r="27" ht="18.0" customHeight="1">
      <c r="A27" s="8">
        <v>23.0</v>
      </c>
      <c r="B27" s="5" t="s">
        <v>132</v>
      </c>
      <c r="C27" s="8" t="s">
        <v>225</v>
      </c>
      <c r="D27" s="8" t="s">
        <v>134</v>
      </c>
      <c r="E27" s="6" t="s">
        <v>564</v>
      </c>
      <c r="F27" s="6"/>
      <c r="G27" s="8" t="s">
        <v>127</v>
      </c>
      <c r="H27" s="6" t="str">
        <f t="array" ref="H27">INDEX('Risk Register'!$C$2:$C$39,MATCH(G27,'Risk Register'!$A$2:$A$39,0))</f>
        <v>distccd remote command execution</v>
      </c>
      <c r="I27" s="6" t="s">
        <v>569</v>
      </c>
    </row>
    <row r="28" ht="18.0" customHeight="1">
      <c r="A28" s="12">
        <v>24.0</v>
      </c>
      <c r="B28" s="11" t="s">
        <v>570</v>
      </c>
      <c r="C28" s="12" t="s">
        <v>225</v>
      </c>
      <c r="D28" s="12" t="s">
        <v>137</v>
      </c>
      <c r="E28" s="13" t="s">
        <v>571</v>
      </c>
      <c r="F28" s="13" t="s">
        <v>572</v>
      </c>
      <c r="G28" s="12" t="s">
        <v>573</v>
      </c>
      <c r="H28" s="13" t="str">
        <f t="array" ref="H28">INDEX('Risk Register'!$C$2:$C$39,MATCH(G28,'Risk Register'!$A$2:$A$39,0))</f>
        <v>Additional vsftpd CVEs flagged by version match</v>
      </c>
      <c r="I28" s="13" t="s">
        <v>577</v>
      </c>
    </row>
    <row r="29" ht="18.0" customHeight="1">
      <c r="A29" s="8">
        <v>25.0</v>
      </c>
      <c r="B29" s="5" t="s">
        <v>580</v>
      </c>
      <c r="C29" s="8" t="s">
        <v>225</v>
      </c>
      <c r="D29" s="8" t="s">
        <v>134</v>
      </c>
      <c r="E29" s="6" t="s">
        <v>571</v>
      </c>
      <c r="F29" s="6" t="s">
        <v>572</v>
      </c>
      <c r="G29" s="8" t="s">
        <v>573</v>
      </c>
      <c r="H29" s="6" t="str">
        <f t="array" ref="H29">INDEX('Risk Register'!$C$2:$C$39,MATCH(G29,'Risk Register'!$A$2:$A$39,0))</f>
        <v>Additional vsftpd CVEs flagged by version match</v>
      </c>
      <c r="I29" s="6" t="s">
        <v>599</v>
      </c>
    </row>
    <row r="30" ht="18.0" customHeight="1">
      <c r="A30" s="12">
        <v>26.0</v>
      </c>
      <c r="B30" s="11" t="s">
        <v>601</v>
      </c>
      <c r="C30" s="12" t="s">
        <v>225</v>
      </c>
      <c r="D30" s="12" t="s">
        <v>134</v>
      </c>
      <c r="E30" s="13" t="s">
        <v>571</v>
      </c>
      <c r="F30" s="13" t="s">
        <v>604</v>
      </c>
      <c r="G30" s="12" t="s">
        <v>245</v>
      </c>
      <c r="H30" s="13" t="str">
        <f t="array" ref="H30">INDEX('Risk Register'!$C$2:$C$39,MATCH(G30,'Risk Register'!$A$2:$A$39,0))</f>
        <v>Anonymous FTP login and weak FTP credentials</v>
      </c>
      <c r="I30" s="13" t="s">
        <v>624</v>
      </c>
    </row>
    <row r="31" ht="18.0" customHeight="1">
      <c r="A31" s="8">
        <v>27.0</v>
      </c>
      <c r="B31" s="5" t="s">
        <v>601</v>
      </c>
      <c r="C31" s="8" t="s">
        <v>225</v>
      </c>
      <c r="D31" s="8" t="s">
        <v>134</v>
      </c>
      <c r="E31" s="6" t="s">
        <v>571</v>
      </c>
      <c r="F31" s="6" t="s">
        <v>630</v>
      </c>
      <c r="G31" s="8" t="s">
        <v>245</v>
      </c>
      <c r="H31" s="6" t="str">
        <f t="array" ref="H31">INDEX('Risk Register'!$C$2:$C$39,MATCH(G31,'Risk Register'!$A$2:$A$39,0))</f>
        <v>Anonymous FTP login and weak FTP credentials</v>
      </c>
      <c r="I31" s="6" t="s">
        <v>635</v>
      </c>
    </row>
    <row r="32" ht="18.0" customHeight="1">
      <c r="A32" s="12">
        <v>28.0</v>
      </c>
      <c r="B32" s="11" t="s">
        <v>601</v>
      </c>
      <c r="C32" s="12" t="s">
        <v>225</v>
      </c>
      <c r="D32" s="12" t="s">
        <v>134</v>
      </c>
      <c r="E32" s="13" t="s">
        <v>571</v>
      </c>
      <c r="F32" s="13" t="s">
        <v>636</v>
      </c>
      <c r="G32" s="12" t="s">
        <v>245</v>
      </c>
      <c r="H32" s="13" t="str">
        <f t="array" ref="H32">INDEX('Risk Register'!$C$2:$C$39,MATCH(G32,'Risk Register'!$A$2:$A$39,0))</f>
        <v>Anonymous FTP login and weak FTP credentials</v>
      </c>
      <c r="I32" s="13" t="s">
        <v>638</v>
      </c>
    </row>
    <row r="33" ht="18.0" customHeight="1">
      <c r="A33" s="8">
        <v>29.0</v>
      </c>
      <c r="B33" s="5" t="s">
        <v>642</v>
      </c>
      <c r="C33" s="8" t="s">
        <v>225</v>
      </c>
      <c r="D33" s="8" t="s">
        <v>156</v>
      </c>
      <c r="E33" s="6" t="s">
        <v>571</v>
      </c>
      <c r="F33" s="6"/>
      <c r="G33" s="8" t="s">
        <v>245</v>
      </c>
      <c r="H33" s="6" t="str">
        <f t="array" ref="H33">INDEX('Risk Register'!$C$2:$C$39,MATCH(G33,'Risk Register'!$A$2:$A$39,0))</f>
        <v>Anonymous FTP login and weak FTP credentials</v>
      </c>
      <c r="I33" s="6" t="s">
        <v>643</v>
      </c>
    </row>
    <row r="34" ht="18.0" customHeight="1">
      <c r="A34" s="12">
        <v>30.0</v>
      </c>
      <c r="B34" s="11" t="s">
        <v>644</v>
      </c>
      <c r="C34" s="12" t="s">
        <v>225</v>
      </c>
      <c r="D34" s="12" t="s">
        <v>156</v>
      </c>
      <c r="E34" s="13" t="s">
        <v>571</v>
      </c>
      <c r="F34" s="13" t="s">
        <v>572</v>
      </c>
      <c r="G34" s="12" t="s">
        <v>40</v>
      </c>
      <c r="H34" s="13" t="str">
        <f t="array" ref="H34">INDEX('Risk Register'!$C$2:$C$39,MATCH(G34,'Risk Register'!$A$2:$A$39,0))</f>
        <v>vsftpd 2.3.4 backdoor detected</v>
      </c>
      <c r="I34" s="13" t="s">
        <v>652</v>
      </c>
    </row>
    <row r="35" ht="18.0" customHeight="1">
      <c r="A35" s="8">
        <v>31.0</v>
      </c>
      <c r="B35" s="5" t="s">
        <v>653</v>
      </c>
      <c r="C35" s="8" t="s">
        <v>225</v>
      </c>
      <c r="D35" s="8" t="s">
        <v>156</v>
      </c>
      <c r="E35" s="6" t="s">
        <v>654</v>
      </c>
      <c r="F35" s="6"/>
      <c r="G35" s="8" t="s">
        <v>289</v>
      </c>
      <c r="H35" s="6" t="str">
        <f t="array" ref="H35">INDEX('Risk Register'!$C$2:$C$39,MATCH(G35,'Risk Register'!$A$2:$A$39,0))</f>
        <v>NFS and RPC portmapper services exposed</v>
      </c>
      <c r="I35" s="6" t="s">
        <v>661</v>
      </c>
    </row>
    <row r="36" ht="18.0" customHeight="1">
      <c r="A36" s="12">
        <v>32.0</v>
      </c>
      <c r="B36" s="11" t="s">
        <v>663</v>
      </c>
      <c r="C36" s="12" t="s">
        <v>225</v>
      </c>
      <c r="D36" s="12" t="s">
        <v>156</v>
      </c>
      <c r="E36" s="13" t="s">
        <v>466</v>
      </c>
      <c r="F36" s="13"/>
      <c r="G36" s="12" t="s">
        <v>296</v>
      </c>
      <c r="H36" s="13" t="str">
        <f t="array" ref="H36">INDEX('Risk Register'!$C$2:$C$39,MATCH(G36,'Risk Register'!$A$2:$A$39,0))</f>
        <v>Legacy database services exposed to the network</v>
      </c>
      <c r="I36" s="13" t="s">
        <v>667</v>
      </c>
    </row>
    <row r="37" ht="18.0" customHeight="1">
      <c r="A37" s="8">
        <v>33.0</v>
      </c>
      <c r="B37" s="5" t="s">
        <v>668</v>
      </c>
      <c r="C37" s="8" t="s">
        <v>225</v>
      </c>
      <c r="D37" s="8" t="s">
        <v>156</v>
      </c>
      <c r="E37" s="6" t="s">
        <v>669</v>
      </c>
      <c r="F37" s="6" t="s">
        <v>670</v>
      </c>
      <c r="G37" s="8" t="s">
        <v>238</v>
      </c>
      <c r="H37" s="6" t="str">
        <f t="array" ref="H37">INDEX('Risk Register'!$C$2:$C$39,MATCH(G37,'Risk Register'!$A$2:$A$39,0))</f>
        <v>Legacy OpenSSH 4.7p1 with 1024-bit DSA host key</v>
      </c>
      <c r="I37" s="6" t="s">
        <v>675</v>
      </c>
    </row>
    <row r="38" ht="18.0" customHeight="1">
      <c r="A38" s="12">
        <v>34.0</v>
      </c>
      <c r="B38" s="11" t="s">
        <v>676</v>
      </c>
      <c r="C38" s="12" t="s">
        <v>225</v>
      </c>
      <c r="D38" s="12" t="s">
        <v>156</v>
      </c>
      <c r="E38" s="13" t="s">
        <v>480</v>
      </c>
      <c r="F38" s="13" t="s">
        <v>678</v>
      </c>
      <c r="G38" s="12" t="s">
        <v>147</v>
      </c>
      <c r="H38" s="13" t="str">
        <f t="array" ref="H38">INDEX('Risk Register'!$C$2:$C$39,MATCH(G38,'Risk Register'!$A$2:$A$39,0))</f>
        <v>VNC remote desktop with weak password and weak protocol</v>
      </c>
      <c r="I38" s="13" t="s">
        <v>695</v>
      </c>
    </row>
    <row r="39" ht="18.0" customHeight="1">
      <c r="A39" s="8">
        <v>35.0</v>
      </c>
      <c r="B39" s="5" t="s">
        <v>108</v>
      </c>
      <c r="C39" s="8" t="s">
        <v>225</v>
      </c>
      <c r="D39" s="8" t="s">
        <v>48</v>
      </c>
      <c r="E39" s="6" t="s">
        <v>699</v>
      </c>
      <c r="F39" s="6"/>
      <c r="G39" s="8" t="s">
        <v>102</v>
      </c>
      <c r="H39" s="6" t="str">
        <f t="array" ref="H39">INDEX('Risk Register'!$C$2:$C$39,MATCH(G39,'Risk Register'!$A$2:$A$39,0))</f>
        <v>Apache JServ (AJP) 'Ghostcat' vulnerability</v>
      </c>
      <c r="I39" s="6" t="s">
        <v>714</v>
      </c>
    </row>
    <row r="40" ht="18.0" customHeight="1">
      <c r="A40" s="12">
        <v>36.0</v>
      </c>
      <c r="B40" s="11" t="s">
        <v>716</v>
      </c>
      <c r="C40" s="12" t="s">
        <v>225</v>
      </c>
      <c r="D40" s="12" t="s">
        <v>156</v>
      </c>
      <c r="E40" s="13" t="s">
        <v>719</v>
      </c>
      <c r="F40" s="13"/>
      <c r="G40" s="12" t="s">
        <v>720</v>
      </c>
      <c r="H40" s="13" t="str">
        <f t="array" ref="H40">INDEX('Risk Register'!$C$2:$C$39,MATCH(G40,'Risk Register'!$A$2:$A$39,0))</f>
        <v>SMTP user enumeration commands enabled (VRFY, ETRN)</v>
      </c>
      <c r="I40" s="13" t="s">
        <v>727</v>
      </c>
    </row>
    <row r="41" ht="18.0" customHeight="1">
      <c r="A41" s="8">
        <v>37.0</v>
      </c>
      <c r="B41" s="5" t="s">
        <v>728</v>
      </c>
      <c r="C41" s="8" t="s">
        <v>225</v>
      </c>
      <c r="D41" s="8" t="s">
        <v>156</v>
      </c>
      <c r="E41" s="6" t="s">
        <v>719</v>
      </c>
      <c r="F41" s="6"/>
      <c r="G41" s="8" t="s">
        <v>720</v>
      </c>
      <c r="H41" s="6" t="str">
        <f t="array" ref="H41">INDEX('Risk Register'!$C$2:$C$39,MATCH(G41,'Risk Register'!$A$2:$A$39,0))</f>
        <v>SMTP user enumeration commands enabled (VRFY, ETRN)</v>
      </c>
      <c r="I41" s="6" t="s">
        <v>731</v>
      </c>
    </row>
    <row r="42" ht="30.0" customHeight="1">
      <c r="A42" s="12">
        <v>38.0</v>
      </c>
      <c r="B42" s="11" t="s">
        <v>732</v>
      </c>
      <c r="C42" s="12" t="s">
        <v>225</v>
      </c>
      <c r="D42" s="12" t="s">
        <v>156</v>
      </c>
      <c r="E42" s="13" t="s">
        <v>719</v>
      </c>
      <c r="F42" s="13" t="s">
        <v>733</v>
      </c>
      <c r="G42" s="12" t="s">
        <v>720</v>
      </c>
      <c r="H42" s="13" t="str">
        <f t="array" ref="H42">INDEX('Risk Register'!$C$2:$C$39,MATCH(G42,'Risk Register'!$A$2:$A$39,0))</f>
        <v>SMTP user enumeration commands enabled (VRFY, ETRN)</v>
      </c>
      <c r="I42" s="13" t="s">
        <v>734</v>
      </c>
    </row>
    <row r="43" ht="18.0" customHeight="1">
      <c r="A43" s="8">
        <v>39.0</v>
      </c>
      <c r="B43" s="5" t="s">
        <v>46</v>
      </c>
      <c r="C43" s="8" t="s">
        <v>225</v>
      </c>
      <c r="D43" s="8" t="s">
        <v>48</v>
      </c>
      <c r="E43" s="6" t="s">
        <v>735</v>
      </c>
      <c r="F43" s="6"/>
      <c r="G43" s="8" t="s">
        <v>40</v>
      </c>
      <c r="H43" s="6" t="str">
        <f t="array" ref="H43">INDEX('Risk Register'!$C$2:$C$39,MATCH(G43,'Risk Register'!$A$2:$A$39,0))</f>
        <v>vsftpd 2.3.4 backdoor detected</v>
      </c>
      <c r="I43" s="6" t="s">
        <v>736</v>
      </c>
    </row>
    <row r="44" ht="18.0" customHeight="1">
      <c r="A44" s="12">
        <v>40.0</v>
      </c>
      <c r="B44" s="11" t="s">
        <v>737</v>
      </c>
      <c r="C44" s="12" t="s">
        <v>225</v>
      </c>
      <c r="D44" s="12" t="s">
        <v>137</v>
      </c>
      <c r="E44" s="13" t="s">
        <v>571</v>
      </c>
      <c r="F44" s="13"/>
      <c r="G44" s="12" t="s">
        <v>245</v>
      </c>
      <c r="H44" s="13" t="str">
        <f t="array" ref="H44">INDEX('Risk Register'!$C$2:$C$39,MATCH(G44,'Risk Register'!$A$2:$A$39,0))</f>
        <v>Anonymous FTP login and weak FTP credentials</v>
      </c>
      <c r="I44" s="13" t="s">
        <v>742</v>
      </c>
    </row>
    <row r="45" ht="18.0" customHeight="1">
      <c r="A45" s="8">
        <v>41.0</v>
      </c>
      <c r="B45" s="5" t="s">
        <v>601</v>
      </c>
      <c r="C45" s="8" t="s">
        <v>225</v>
      </c>
      <c r="D45" s="8" t="s">
        <v>134</v>
      </c>
      <c r="E45" s="6" t="s">
        <v>571</v>
      </c>
      <c r="F45" s="6" t="s">
        <v>743</v>
      </c>
      <c r="G45" s="8" t="s">
        <v>245</v>
      </c>
      <c r="H45" s="6" t="str">
        <f t="array" ref="H45">INDEX('Risk Register'!$C$2:$C$39,MATCH(G45,'Risk Register'!$A$2:$A$39,0))</f>
        <v>Anonymous FTP login and weak FTP credentials</v>
      </c>
      <c r="I45" s="6" t="s">
        <v>749</v>
      </c>
    </row>
    <row r="46" ht="18.0" customHeight="1">
      <c r="A46" s="12">
        <v>42.0</v>
      </c>
      <c r="B46" s="11" t="s">
        <v>601</v>
      </c>
      <c r="C46" s="12" t="s">
        <v>225</v>
      </c>
      <c r="D46" s="12" t="s">
        <v>134</v>
      </c>
      <c r="E46" s="13" t="s">
        <v>571</v>
      </c>
      <c r="F46" s="13" t="s">
        <v>753</v>
      </c>
      <c r="G46" s="12" t="s">
        <v>245</v>
      </c>
      <c r="H46" s="13" t="str">
        <f t="array" ref="H46">INDEX('Risk Register'!$C$2:$C$39,MATCH(G46,'Risk Register'!$A$2:$A$39,0))</f>
        <v>Anonymous FTP login and weak FTP credentials</v>
      </c>
      <c r="I46" s="13" t="s">
        <v>756</v>
      </c>
    </row>
    <row r="47" ht="18.0" customHeight="1">
      <c r="A47" s="8">
        <v>43.0</v>
      </c>
      <c r="B47" s="5" t="s">
        <v>601</v>
      </c>
      <c r="C47" s="8" t="s">
        <v>225</v>
      </c>
      <c r="D47" s="8" t="s">
        <v>134</v>
      </c>
      <c r="E47" s="6" t="s">
        <v>571</v>
      </c>
      <c r="F47" s="6" t="s">
        <v>757</v>
      </c>
      <c r="G47" s="8" t="s">
        <v>245</v>
      </c>
      <c r="H47" s="6" t="str">
        <f t="array" ref="H47">INDEX('Risk Register'!$C$2:$C$39,MATCH(G47,'Risk Register'!$A$2:$A$39,0))</f>
        <v>Anonymous FTP login and weak FTP credentials</v>
      </c>
      <c r="I47" s="6" t="s">
        <v>762</v>
      </c>
    </row>
    <row r="48" ht="18.0" customHeight="1">
      <c r="A48" s="12">
        <v>44.0</v>
      </c>
      <c r="B48" s="11" t="s">
        <v>601</v>
      </c>
      <c r="C48" s="12" t="s">
        <v>225</v>
      </c>
      <c r="D48" s="12" t="s">
        <v>134</v>
      </c>
      <c r="E48" s="13" t="s">
        <v>571</v>
      </c>
      <c r="F48" s="13" t="s">
        <v>765</v>
      </c>
      <c r="G48" s="12" t="s">
        <v>245</v>
      </c>
      <c r="H48" s="13" t="str">
        <f t="array" ref="H48">INDEX('Risk Register'!$C$2:$C$39,MATCH(G48,'Risk Register'!$A$2:$A$39,0))</f>
        <v>Anonymous FTP login and weak FTP credentials</v>
      </c>
      <c r="I48" s="13" t="s">
        <v>769</v>
      </c>
    </row>
    <row r="49" ht="18.0" customHeight="1">
      <c r="A49" s="8">
        <v>45.0</v>
      </c>
      <c r="B49" s="5" t="s">
        <v>601</v>
      </c>
      <c r="C49" s="8" t="s">
        <v>225</v>
      </c>
      <c r="D49" s="8" t="s">
        <v>134</v>
      </c>
      <c r="E49" s="6" t="s">
        <v>571</v>
      </c>
      <c r="F49" s="6" t="s">
        <v>771</v>
      </c>
      <c r="G49" s="8" t="s">
        <v>245</v>
      </c>
      <c r="H49" s="6" t="str">
        <f t="array" ref="H49">INDEX('Risk Register'!$C$2:$C$39,MATCH(G49,'Risk Register'!$A$2:$A$39,0))</f>
        <v>Anonymous FTP login and weak FTP credentials</v>
      </c>
      <c r="I49" s="6" t="s">
        <v>778</v>
      </c>
    </row>
    <row r="50" ht="18.0" customHeight="1">
      <c r="A50" s="12">
        <v>46.0</v>
      </c>
      <c r="B50" s="11" t="s">
        <v>783</v>
      </c>
      <c r="C50" s="12" t="s">
        <v>254</v>
      </c>
      <c r="D50" s="12" t="s">
        <v>156</v>
      </c>
      <c r="E50" s="13" t="s">
        <v>408</v>
      </c>
      <c r="F50" s="13" t="s">
        <v>787</v>
      </c>
      <c r="G50" s="12" t="s">
        <v>421</v>
      </c>
      <c r="H50" s="13" t="str">
        <f t="array" ref="H50">INDEX('Risk Register'!$C$2:$C$39,MATCH(G50,'Risk Register'!$A$2:$A$39,0))</f>
        <v>End-of-life web stack: Apache 2.2.8 and PHP 5.2.4</v>
      </c>
      <c r="I50" s="13" t="s">
        <v>794</v>
      </c>
    </row>
    <row r="51" ht="18.0" customHeight="1">
      <c r="A51" s="8">
        <v>47.0</v>
      </c>
      <c r="B51" s="5" t="s">
        <v>796</v>
      </c>
      <c r="C51" s="8" t="s">
        <v>254</v>
      </c>
      <c r="D51" s="8" t="s">
        <v>156</v>
      </c>
      <c r="E51" s="6" t="s">
        <v>408</v>
      </c>
      <c r="F51" s="6" t="s">
        <v>797</v>
      </c>
      <c r="G51" s="8" t="s">
        <v>421</v>
      </c>
      <c r="H51" s="6" t="str">
        <f t="array" ref="H51">INDEX('Risk Register'!$C$2:$C$39,MATCH(G51,'Risk Register'!$A$2:$A$39,0))</f>
        <v>End-of-life web stack: Apache 2.2.8 and PHP 5.2.4</v>
      </c>
      <c r="I51" s="6" t="s">
        <v>814</v>
      </c>
    </row>
    <row r="52" ht="18.0" customHeight="1">
      <c r="A52" s="12">
        <v>48.0</v>
      </c>
      <c r="B52" s="11" t="s">
        <v>817</v>
      </c>
      <c r="C52" s="12" t="s">
        <v>254</v>
      </c>
      <c r="D52" s="12" t="s">
        <v>156</v>
      </c>
      <c r="E52" s="13" t="s">
        <v>408</v>
      </c>
      <c r="F52" s="13" t="s">
        <v>422</v>
      </c>
      <c r="G52" s="12" t="s">
        <v>421</v>
      </c>
      <c r="H52" s="13" t="str">
        <f t="array" ref="H52">INDEX('Risk Register'!$C$2:$C$39,MATCH(G52,'Risk Register'!$A$2:$A$39,0))</f>
        <v>End-of-life web stack: Apache 2.2.8 and PHP 5.2.4</v>
      </c>
      <c r="I52" s="13" t="s">
        <v>827</v>
      </c>
    </row>
    <row r="53" ht="18.0" customHeight="1">
      <c r="A53" s="8">
        <v>49.0</v>
      </c>
      <c r="B53" s="5" t="s">
        <v>830</v>
      </c>
      <c r="C53" s="8" t="s">
        <v>254</v>
      </c>
      <c r="D53" s="8" t="s">
        <v>156</v>
      </c>
      <c r="E53" s="6" t="s">
        <v>408</v>
      </c>
      <c r="F53" s="6"/>
      <c r="G53" s="8" t="s">
        <v>418</v>
      </c>
      <c r="H53" s="6" t="str">
        <f t="array" ref="H53">INDEX('Risk Register'!$C$2:$C$39,MATCH(G53,'Risk Register'!$A$2:$A$39,0))</f>
        <v>Information leakage through headers, ETag and error behaviour</v>
      </c>
      <c r="I53" s="6" t="s">
        <v>838</v>
      </c>
    </row>
    <row r="54" ht="18.0" customHeight="1">
      <c r="A54" s="12">
        <v>50.0</v>
      </c>
      <c r="B54" s="11" t="s">
        <v>840</v>
      </c>
      <c r="C54" s="12" t="s">
        <v>254</v>
      </c>
      <c r="D54" s="12" t="s">
        <v>156</v>
      </c>
      <c r="E54" s="13" t="s">
        <v>408</v>
      </c>
      <c r="F54" s="13" t="s">
        <v>842</v>
      </c>
      <c r="G54" s="12" t="s">
        <v>442</v>
      </c>
      <c r="H54" s="13" t="str">
        <f t="array" ref="H54">INDEX('Risk Register'!$C$2:$C$39,MATCH(G54,'Risk Register'!$A$2:$A$39,0))</f>
        <v>Missing HTTP security response headers</v>
      </c>
      <c r="I54" s="13" t="s">
        <v>846</v>
      </c>
    </row>
    <row r="55" ht="18.0" customHeight="1">
      <c r="A55" s="8">
        <v>51.0</v>
      </c>
      <c r="B55" s="5" t="s">
        <v>847</v>
      </c>
      <c r="C55" s="8" t="s">
        <v>254</v>
      </c>
      <c r="D55" s="8" t="s">
        <v>156</v>
      </c>
      <c r="E55" s="6" t="s">
        <v>408</v>
      </c>
      <c r="F55" s="6" t="s">
        <v>848</v>
      </c>
      <c r="G55" s="8" t="s">
        <v>442</v>
      </c>
      <c r="H55" s="6" t="str">
        <f t="array" ref="H55">INDEX('Risk Register'!$C$2:$C$39,MATCH(G55,'Risk Register'!$A$2:$A$39,0))</f>
        <v>Missing HTTP security response headers</v>
      </c>
      <c r="I55" s="6" t="s">
        <v>849</v>
      </c>
    </row>
    <row r="56" ht="18.0" customHeight="1">
      <c r="A56" s="12">
        <v>52.0</v>
      </c>
      <c r="B56" s="11" t="s">
        <v>851</v>
      </c>
      <c r="C56" s="12" t="s">
        <v>254</v>
      </c>
      <c r="D56" s="12" t="s">
        <v>156</v>
      </c>
      <c r="E56" s="13" t="s">
        <v>408</v>
      </c>
      <c r="F56" s="13" t="s">
        <v>853</v>
      </c>
      <c r="G56" s="12" t="s">
        <v>442</v>
      </c>
      <c r="H56" s="13" t="str">
        <f t="array" ref="H56">INDEX('Risk Register'!$C$2:$C$39,MATCH(G56,'Risk Register'!$A$2:$A$39,0))</f>
        <v>Missing HTTP security response headers</v>
      </c>
      <c r="I56" s="13" t="s">
        <v>856</v>
      </c>
    </row>
    <row r="57" ht="18.0" customHeight="1">
      <c r="A57" s="8">
        <v>53.0</v>
      </c>
      <c r="B57" s="5" t="s">
        <v>857</v>
      </c>
      <c r="C57" s="8" t="s">
        <v>254</v>
      </c>
      <c r="D57" s="8" t="s">
        <v>156</v>
      </c>
      <c r="E57" s="6" t="s">
        <v>408</v>
      </c>
      <c r="F57" s="6" t="s">
        <v>858</v>
      </c>
      <c r="G57" s="8" t="s">
        <v>442</v>
      </c>
      <c r="H57" s="6" t="str">
        <f t="array" ref="H57">INDEX('Risk Register'!$C$2:$C$39,MATCH(G57,'Risk Register'!$A$2:$A$39,0))</f>
        <v>Missing HTTP security response headers</v>
      </c>
      <c r="I57" s="6" t="s">
        <v>867</v>
      </c>
    </row>
    <row r="58" ht="18.0" customHeight="1">
      <c r="A58" s="12">
        <v>54.0</v>
      </c>
      <c r="B58" s="11" t="s">
        <v>868</v>
      </c>
      <c r="C58" s="12" t="s">
        <v>254</v>
      </c>
      <c r="D58" s="12" t="s">
        <v>156</v>
      </c>
      <c r="E58" s="13" t="s">
        <v>408</v>
      </c>
      <c r="F58" s="13" t="s">
        <v>869</v>
      </c>
      <c r="G58" s="12" t="s">
        <v>442</v>
      </c>
      <c r="H58" s="13" t="str">
        <f t="array" ref="H58">INDEX('Risk Register'!$C$2:$C$39,MATCH(G58,'Risk Register'!$A$2:$A$39,0))</f>
        <v>Missing HTTP security response headers</v>
      </c>
      <c r="I58" s="13" t="s">
        <v>870</v>
      </c>
    </row>
    <row r="59" ht="18.0" customHeight="1">
      <c r="A59" s="8">
        <v>55.0</v>
      </c>
      <c r="B59" s="5" t="s">
        <v>871</v>
      </c>
      <c r="C59" s="8" t="s">
        <v>254</v>
      </c>
      <c r="D59" s="8" t="s">
        <v>156</v>
      </c>
      <c r="E59" s="6" t="s">
        <v>408</v>
      </c>
      <c r="F59" s="6" t="s">
        <v>872</v>
      </c>
      <c r="G59" s="8" t="s">
        <v>442</v>
      </c>
      <c r="H59" s="6" t="str">
        <f t="array" ref="H59">INDEX('Risk Register'!$C$2:$C$39,MATCH(G59,'Risk Register'!$A$2:$A$39,0))</f>
        <v>Missing HTTP security response headers</v>
      </c>
      <c r="I59" s="6" t="s">
        <v>873</v>
      </c>
    </row>
    <row r="60" ht="18.0" customHeight="1">
      <c r="A60" s="12">
        <v>56.0</v>
      </c>
      <c r="B60" s="11" t="s">
        <v>874</v>
      </c>
      <c r="C60" s="12" t="s">
        <v>254</v>
      </c>
      <c r="D60" s="12" t="s">
        <v>156</v>
      </c>
      <c r="E60" s="13" t="s">
        <v>408</v>
      </c>
      <c r="F60" s="13" t="s">
        <v>875</v>
      </c>
      <c r="G60" s="12" t="s">
        <v>442</v>
      </c>
      <c r="H60" s="13" t="str">
        <f t="array" ref="H60">INDEX('Risk Register'!$C$2:$C$39,MATCH(G60,'Risk Register'!$A$2:$A$39,0))</f>
        <v>Missing HTTP security response headers</v>
      </c>
      <c r="I60" s="13" t="s">
        <v>876</v>
      </c>
    </row>
    <row r="61" ht="18.0" customHeight="1">
      <c r="A61" s="8">
        <v>57.0</v>
      </c>
      <c r="B61" s="5" t="s">
        <v>877</v>
      </c>
      <c r="C61" s="8" t="s">
        <v>254</v>
      </c>
      <c r="D61" s="8" t="s">
        <v>156</v>
      </c>
      <c r="E61" s="6" t="s">
        <v>408</v>
      </c>
      <c r="F61" s="6" t="s">
        <v>878</v>
      </c>
      <c r="G61" s="8" t="s">
        <v>442</v>
      </c>
      <c r="H61" s="6" t="str">
        <f t="array" ref="H61">INDEX('Risk Register'!$C$2:$C$39,MATCH(G61,'Risk Register'!$A$2:$A$39,0))</f>
        <v>Missing HTTP security response headers</v>
      </c>
      <c r="I61" s="6" t="s">
        <v>879</v>
      </c>
    </row>
    <row r="62" ht="18.0" customHeight="1">
      <c r="A62" s="12">
        <v>58.0</v>
      </c>
      <c r="B62" s="11" t="s">
        <v>880</v>
      </c>
      <c r="C62" s="12" t="s">
        <v>254</v>
      </c>
      <c r="D62" s="12" t="s">
        <v>156</v>
      </c>
      <c r="E62" s="13" t="s">
        <v>408</v>
      </c>
      <c r="F62" s="13" t="s">
        <v>881</v>
      </c>
      <c r="G62" s="12" t="s">
        <v>442</v>
      </c>
      <c r="H62" s="13" t="str">
        <f t="array" ref="H62">INDEX('Risk Register'!$C$2:$C$39,MATCH(G62,'Risk Register'!$A$2:$A$39,0))</f>
        <v>Missing HTTP security response headers</v>
      </c>
      <c r="I62" s="13" t="s">
        <v>886</v>
      </c>
    </row>
    <row r="63" ht="18.0" customHeight="1">
      <c r="A63" s="8">
        <v>59.0</v>
      </c>
      <c r="B63" s="5" t="s">
        <v>887</v>
      </c>
      <c r="C63" s="8" t="s">
        <v>254</v>
      </c>
      <c r="D63" s="8" t="s">
        <v>156</v>
      </c>
      <c r="E63" s="6" t="s">
        <v>408</v>
      </c>
      <c r="F63" s="6" t="s">
        <v>888</v>
      </c>
      <c r="G63" s="8" t="s">
        <v>442</v>
      </c>
      <c r="H63" s="6" t="str">
        <f t="array" ref="H63">INDEX('Risk Register'!$C$2:$C$39,MATCH(G63,'Risk Register'!$A$2:$A$39,0))</f>
        <v>Missing HTTP security response headers</v>
      </c>
      <c r="I63" s="6" t="s">
        <v>889</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I$63"/>
  <conditionalFormatting sqref="D5:D63">
    <cfRule type="cellIs" dxfId="0" priority="1" operator="equal">
      <formula>"Critical"</formula>
    </cfRule>
  </conditionalFormatting>
  <conditionalFormatting sqref="D5:D63">
    <cfRule type="cellIs" dxfId="1" priority="2" operator="equal">
      <formula>"High"</formula>
    </cfRule>
  </conditionalFormatting>
  <conditionalFormatting sqref="D5:D63">
    <cfRule type="cellIs" dxfId="2" priority="3" operator="equal">
      <formula>"Medium"</formula>
    </cfRule>
  </conditionalFormatting>
  <conditionalFormatting sqref="D5:D63">
    <cfRule type="cellIs" dxfId="3" priority="4" operator="equal">
      <formula>"Low"</formula>
    </cfRule>
  </conditionalFormatting>
  <conditionalFormatting sqref="D5:D63">
    <cfRule type="cellIs" dxfId="4" priority="5" operator="equal">
      <formula>"Info"</formula>
    </cfRule>
  </conditionalFormatting>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90.0"/>
    <col customWidth="1" min="3" max="3" width="34.0"/>
    <col customWidth="1" min="4" max="4" width="28.0"/>
    <col customWidth="1" min="5" max="5" width="12.0"/>
    <col customWidth="1" min="6" max="26" width="8.71"/>
  </cols>
  <sheetData>
    <row r="1">
      <c r="A1" s="1" t="s">
        <v>424</v>
      </c>
    </row>
    <row r="2">
      <c r="A2" s="3" t="s">
        <v>429</v>
      </c>
    </row>
    <row r="4">
      <c r="A4" s="2" t="s">
        <v>367</v>
      </c>
      <c r="B4" s="2" t="s">
        <v>432</v>
      </c>
      <c r="C4" s="2" t="s">
        <v>433</v>
      </c>
      <c r="D4" s="2" t="s">
        <v>434</v>
      </c>
      <c r="E4" s="2" t="s">
        <v>381</v>
      </c>
    </row>
    <row r="5" ht="15.75" customHeight="1">
      <c r="A5" s="8">
        <v>1.0</v>
      </c>
      <c r="B5" s="6" t="s">
        <v>437</v>
      </c>
      <c r="C5" s="6" t="s">
        <v>438</v>
      </c>
      <c r="D5" s="6" t="s">
        <v>439</v>
      </c>
      <c r="E5" s="8" t="s">
        <v>418</v>
      </c>
    </row>
    <row r="6" ht="15.75" customHeight="1">
      <c r="A6" s="12">
        <v>2.0</v>
      </c>
      <c r="B6" s="13" t="s">
        <v>440</v>
      </c>
      <c r="C6" s="13" t="s">
        <v>438</v>
      </c>
      <c r="D6" s="13" t="s">
        <v>441</v>
      </c>
      <c r="E6" s="12" t="s">
        <v>442</v>
      </c>
    </row>
    <row r="7" ht="15.75" customHeight="1">
      <c r="A7" s="8">
        <v>3.0</v>
      </c>
      <c r="B7" s="6" t="s">
        <v>443</v>
      </c>
      <c r="C7" s="6" t="s">
        <v>438</v>
      </c>
      <c r="D7" s="6" t="s">
        <v>441</v>
      </c>
      <c r="E7" s="8" t="s">
        <v>442</v>
      </c>
    </row>
    <row r="8" ht="15.75" customHeight="1">
      <c r="A8" s="12">
        <v>4.0</v>
      </c>
      <c r="B8" s="13" t="s">
        <v>444</v>
      </c>
      <c r="C8" s="13" t="s">
        <v>438</v>
      </c>
      <c r="D8" s="13" t="s">
        <v>446</v>
      </c>
      <c r="E8" s="12" t="s">
        <v>421</v>
      </c>
    </row>
    <row r="9" ht="15.75" customHeight="1">
      <c r="A9" s="8">
        <v>5.0</v>
      </c>
      <c r="B9" s="6" t="s">
        <v>450</v>
      </c>
      <c r="C9" s="6" t="s">
        <v>452</v>
      </c>
      <c r="D9" s="6" t="s">
        <v>439</v>
      </c>
      <c r="E9" s="8" t="s">
        <v>418</v>
      </c>
    </row>
    <row r="10" ht="27.75" customHeight="1">
      <c r="A10" s="12">
        <v>6.0</v>
      </c>
      <c r="B10" s="13" t="s">
        <v>453</v>
      </c>
      <c r="C10" s="13" t="s">
        <v>452</v>
      </c>
      <c r="D10" s="13" t="s">
        <v>454</v>
      </c>
      <c r="E10" s="12" t="s">
        <v>418</v>
      </c>
    </row>
    <row r="11" ht="15.75" customHeight="1">
      <c r="A11" s="8">
        <v>7.0</v>
      </c>
      <c r="B11" s="6" t="s">
        <v>455</v>
      </c>
      <c r="C11" s="6" t="s">
        <v>438</v>
      </c>
      <c r="D11" s="6" t="s">
        <v>456</v>
      </c>
      <c r="E11" s="8" t="s">
        <v>418</v>
      </c>
    </row>
    <row r="12" ht="15.75" customHeight="1">
      <c r="A12" s="12">
        <v>8.0</v>
      </c>
      <c r="B12" s="13" t="s">
        <v>457</v>
      </c>
      <c r="C12" s="13" t="s">
        <v>438</v>
      </c>
      <c r="D12" s="13" t="s">
        <v>458</v>
      </c>
      <c r="E12" s="12" t="s">
        <v>409</v>
      </c>
    </row>
    <row r="13" ht="15.75" customHeight="1">
      <c r="A13" s="8">
        <v>9.0</v>
      </c>
      <c r="B13" s="6" t="s">
        <v>459</v>
      </c>
      <c r="C13" s="6" t="s">
        <v>460</v>
      </c>
      <c r="D13" s="6" t="s">
        <v>439</v>
      </c>
      <c r="E13" s="8" t="s">
        <v>401</v>
      </c>
    </row>
    <row r="14" ht="15.75" customHeight="1">
      <c r="A14" s="12">
        <v>10.0</v>
      </c>
      <c r="B14" s="13" t="s">
        <v>463</v>
      </c>
      <c r="C14" s="13" t="s">
        <v>464</v>
      </c>
      <c r="D14" s="13" t="s">
        <v>465</v>
      </c>
      <c r="E14" s="12" t="s">
        <v>467</v>
      </c>
    </row>
    <row r="15" ht="15.75" customHeight="1">
      <c r="A15" s="8">
        <v>11.0</v>
      </c>
      <c r="B15" s="6" t="s">
        <v>469</v>
      </c>
      <c r="C15" s="6" t="s">
        <v>464</v>
      </c>
      <c r="D15" s="6" t="s">
        <v>465</v>
      </c>
      <c r="E15" s="8" t="s">
        <v>467</v>
      </c>
    </row>
    <row r="16" ht="27.75" customHeight="1">
      <c r="A16" s="12">
        <v>12.0</v>
      </c>
      <c r="B16" s="13" t="s">
        <v>470</v>
      </c>
      <c r="C16" s="13" t="s">
        <v>471</v>
      </c>
      <c r="D16" s="13" t="s">
        <v>439</v>
      </c>
      <c r="E16" s="12" t="s">
        <v>418</v>
      </c>
    </row>
    <row r="17" ht="27.75" customHeight="1">
      <c r="A17" s="8">
        <v>13.0</v>
      </c>
      <c r="B17" s="6" t="s">
        <v>472</v>
      </c>
      <c r="C17" s="6" t="s">
        <v>473</v>
      </c>
      <c r="D17" s="6" t="s">
        <v>439</v>
      </c>
      <c r="E17" s="8" t="s">
        <v>418</v>
      </c>
    </row>
    <row r="18" ht="27.75" customHeight="1">
      <c r="A18" s="12">
        <v>14.0</v>
      </c>
      <c r="B18" s="13" t="s">
        <v>474</v>
      </c>
      <c r="C18" s="13" t="s">
        <v>475</v>
      </c>
      <c r="D18" s="13" t="s">
        <v>439</v>
      </c>
      <c r="E18" s="12" t="s">
        <v>418</v>
      </c>
    </row>
    <row r="19" ht="27.75" customHeight="1">
      <c r="A19" s="8">
        <v>15.0</v>
      </c>
      <c r="B19" s="6" t="s">
        <v>477</v>
      </c>
      <c r="C19" s="6" t="s">
        <v>478</v>
      </c>
      <c r="D19" s="6" t="s">
        <v>439</v>
      </c>
      <c r="E19" s="8" t="s">
        <v>418</v>
      </c>
    </row>
    <row r="20" ht="27.75" customHeight="1">
      <c r="A20" s="12">
        <v>16.0</v>
      </c>
      <c r="B20" s="13" t="s">
        <v>481</v>
      </c>
      <c r="C20" s="13" t="s">
        <v>483</v>
      </c>
      <c r="D20" s="13" t="s">
        <v>484</v>
      </c>
      <c r="E20" s="12" t="s">
        <v>393</v>
      </c>
    </row>
    <row r="21" ht="27.75" customHeight="1">
      <c r="A21" s="8">
        <v>17.0</v>
      </c>
      <c r="B21" s="6" t="s">
        <v>485</v>
      </c>
      <c r="C21" s="6" t="s">
        <v>486</v>
      </c>
      <c r="D21" s="6" t="s">
        <v>439</v>
      </c>
      <c r="E21" s="8" t="s">
        <v>418</v>
      </c>
    </row>
    <row r="22" ht="15.75" customHeight="1">
      <c r="A22" s="12">
        <v>18.0</v>
      </c>
      <c r="B22" s="13" t="s">
        <v>487</v>
      </c>
      <c r="C22" s="13" t="s">
        <v>486</v>
      </c>
      <c r="D22" s="13" t="s">
        <v>484</v>
      </c>
      <c r="E22" s="12" t="s">
        <v>393</v>
      </c>
    </row>
    <row r="23" ht="15.75" customHeight="1">
      <c r="A23" s="8">
        <v>19.0</v>
      </c>
      <c r="B23" s="6" t="s">
        <v>463</v>
      </c>
      <c r="C23" s="6" t="s">
        <v>488</v>
      </c>
      <c r="D23" s="6" t="s">
        <v>465</v>
      </c>
      <c r="E23" s="8" t="s">
        <v>467</v>
      </c>
    </row>
    <row r="24" ht="15.75" customHeight="1">
      <c r="A24" s="12">
        <v>20.0</v>
      </c>
      <c r="B24" s="13" t="s">
        <v>489</v>
      </c>
      <c r="C24" s="13" t="s">
        <v>488</v>
      </c>
      <c r="D24" s="13" t="s">
        <v>490</v>
      </c>
      <c r="E24" s="12" t="s">
        <v>467</v>
      </c>
    </row>
    <row r="25" ht="15.75" customHeight="1">
      <c r="A25" s="8">
        <v>21.0</v>
      </c>
      <c r="B25" s="6" t="s">
        <v>492</v>
      </c>
      <c r="C25" s="6" t="s">
        <v>460</v>
      </c>
      <c r="D25" s="6" t="s">
        <v>439</v>
      </c>
      <c r="E25" s="8" t="s">
        <v>401</v>
      </c>
    </row>
    <row r="26" ht="15.75" customHeight="1">
      <c r="A26" s="12">
        <v>22.0</v>
      </c>
      <c r="B26" s="13" t="s">
        <v>463</v>
      </c>
      <c r="C26" s="13" t="s">
        <v>498</v>
      </c>
      <c r="D26" s="13" t="s">
        <v>465</v>
      </c>
      <c r="E26" s="12" t="s">
        <v>467</v>
      </c>
    </row>
    <row r="27" ht="15.75" customHeight="1">
      <c r="A27" s="8">
        <v>23.0</v>
      </c>
      <c r="B27" s="6" t="s">
        <v>501</v>
      </c>
      <c r="C27" s="6" t="s">
        <v>503</v>
      </c>
      <c r="D27" s="6" t="s">
        <v>504</v>
      </c>
      <c r="E27" s="8" t="s">
        <v>467</v>
      </c>
    </row>
    <row r="28" ht="15.75" customHeight="1">
      <c r="A28" s="12">
        <v>24.0</v>
      </c>
      <c r="B28" s="13" t="s">
        <v>505</v>
      </c>
      <c r="C28" s="13" t="s">
        <v>506</v>
      </c>
      <c r="D28" s="13" t="s">
        <v>484</v>
      </c>
      <c r="E28" s="12" t="s">
        <v>393</v>
      </c>
    </row>
    <row r="29" ht="15.75" customHeight="1">
      <c r="A29" s="8">
        <v>25.0</v>
      </c>
      <c r="B29" s="6" t="s">
        <v>508</v>
      </c>
      <c r="C29" s="6" t="s">
        <v>509</v>
      </c>
      <c r="D29" s="6" t="s">
        <v>484</v>
      </c>
      <c r="E29" s="8" t="s">
        <v>393</v>
      </c>
    </row>
    <row r="30" ht="15.75" customHeight="1">
      <c r="A30" s="12">
        <v>26.0</v>
      </c>
      <c r="B30" s="13" t="s">
        <v>510</v>
      </c>
      <c r="C30" s="13" t="s">
        <v>511</v>
      </c>
      <c r="D30" s="13" t="s">
        <v>484</v>
      </c>
      <c r="E30" s="12" t="s">
        <v>393</v>
      </c>
    </row>
    <row r="31" ht="15.75" customHeight="1">
      <c r="A31" s="8">
        <v>27.0</v>
      </c>
      <c r="B31" s="6" t="s">
        <v>512</v>
      </c>
      <c r="C31" s="6" t="s">
        <v>513</v>
      </c>
      <c r="D31" s="6" t="s">
        <v>514</v>
      </c>
      <c r="E31" s="8" t="s">
        <v>515</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E$31"/>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0"/>
    <col customWidth="1" min="2" max="2" width="18.0"/>
    <col customWidth="1" min="3" max="3" width="9.0"/>
    <col customWidth="1" min="4" max="4" width="28.0"/>
    <col customWidth="1" min="5" max="5" width="70.0"/>
    <col customWidth="1" min="6" max="6" width="26.0"/>
    <col customWidth="1" min="7" max="7" width="44.0"/>
    <col customWidth="1" min="8" max="26" width="8.71"/>
  </cols>
  <sheetData>
    <row r="1">
      <c r="A1" s="1" t="s">
        <v>574</v>
      </c>
    </row>
    <row r="2">
      <c r="A2" s="3" t="s">
        <v>575</v>
      </c>
    </row>
    <row r="4">
      <c r="A4" s="2" t="s">
        <v>576</v>
      </c>
      <c r="B4" s="2" t="s">
        <v>578</v>
      </c>
      <c r="C4" s="2" t="s">
        <v>26</v>
      </c>
      <c r="D4" s="2" t="s">
        <v>116</v>
      </c>
      <c r="E4" s="2" t="s">
        <v>583</v>
      </c>
      <c r="F4" s="2" t="s">
        <v>35</v>
      </c>
      <c r="G4" s="2" t="s">
        <v>586</v>
      </c>
    </row>
    <row r="5" ht="69.75" customHeight="1">
      <c r="A5" s="5" t="s">
        <v>589</v>
      </c>
      <c r="B5" s="8" t="s">
        <v>590</v>
      </c>
      <c r="C5" s="8" t="s">
        <v>591</v>
      </c>
      <c r="D5" s="6" t="s">
        <v>592</v>
      </c>
      <c r="E5" s="6" t="s">
        <v>593</v>
      </c>
      <c r="F5" s="6" t="s">
        <v>594</v>
      </c>
      <c r="G5" s="6" t="s">
        <v>595</v>
      </c>
    </row>
    <row r="6" ht="69.75" customHeight="1">
      <c r="A6" s="11" t="s">
        <v>596</v>
      </c>
      <c r="B6" s="12" t="s">
        <v>597</v>
      </c>
      <c r="C6" s="12" t="s">
        <v>598</v>
      </c>
      <c r="D6" s="13" t="s">
        <v>600</v>
      </c>
      <c r="E6" s="13" t="s">
        <v>602</v>
      </c>
      <c r="F6" s="13" t="s">
        <v>603</v>
      </c>
      <c r="G6" s="13" t="s">
        <v>605</v>
      </c>
    </row>
    <row r="7" ht="69.75" customHeight="1">
      <c r="A7" s="5" t="s">
        <v>606</v>
      </c>
      <c r="B7" s="8" t="s">
        <v>607</v>
      </c>
      <c r="C7" s="8" t="s">
        <v>608</v>
      </c>
      <c r="D7" s="6" t="s">
        <v>609</v>
      </c>
      <c r="E7" s="6" t="s">
        <v>610</v>
      </c>
      <c r="F7" s="6" t="s">
        <v>611</v>
      </c>
      <c r="G7" s="6" t="s">
        <v>612</v>
      </c>
    </row>
    <row r="8" ht="69.75" customHeight="1">
      <c r="A8" s="11" t="s">
        <v>613</v>
      </c>
      <c r="B8" s="12" t="s">
        <v>614</v>
      </c>
      <c r="C8" s="12" t="s">
        <v>615</v>
      </c>
      <c r="D8" s="13" t="s">
        <v>616</v>
      </c>
      <c r="E8" s="13" t="s">
        <v>617</v>
      </c>
      <c r="F8" s="13" t="s">
        <v>618</v>
      </c>
      <c r="G8" s="13" t="s">
        <v>619</v>
      </c>
    </row>
    <row r="9" ht="69.75" customHeight="1">
      <c r="A9" s="5" t="s">
        <v>620</v>
      </c>
      <c r="B9" s="8" t="s">
        <v>621</v>
      </c>
      <c r="C9" s="8" t="s">
        <v>622</v>
      </c>
      <c r="D9" s="6" t="s">
        <v>623</v>
      </c>
      <c r="E9" s="6" t="s">
        <v>625</v>
      </c>
      <c r="F9" s="6" t="s">
        <v>626</v>
      </c>
      <c r="G9" s="6" t="s">
        <v>627</v>
      </c>
    </row>
    <row r="10" ht="69.75" customHeight="1">
      <c r="A10" s="11" t="s">
        <v>628</v>
      </c>
      <c r="B10" s="12" t="s">
        <v>629</v>
      </c>
      <c r="C10" s="12" t="s">
        <v>591</v>
      </c>
      <c r="D10" s="13" t="s">
        <v>631</v>
      </c>
      <c r="E10" s="13" t="s">
        <v>632</v>
      </c>
      <c r="F10" s="13" t="s">
        <v>633</v>
      </c>
      <c r="G10" s="13" t="s">
        <v>634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0"/>
    <col customWidth="1" min="2" max="2" width="34.0"/>
    <col customWidth="1" min="3" max="4" width="70.0"/>
    <col customWidth="1" min="5" max="5" width="10.0"/>
    <col customWidth="1" min="6" max="26" width="8.71"/>
  </cols>
  <sheetData>
    <row r="1">
      <c r="A1" s="1" t="s">
        <v>655</v>
      </c>
    </row>
    <row r="2">
      <c r="A2" s="3" t="s">
        <v>656</v>
      </c>
    </row>
    <row r="4">
      <c r="A4" s="2" t="s">
        <v>1</v>
      </c>
      <c r="B4" s="2" t="s">
        <v>657</v>
      </c>
      <c r="C4" s="2" t="s">
        <v>658</v>
      </c>
      <c r="D4" s="2" t="s">
        <v>659</v>
      </c>
      <c r="E4" s="2" t="s">
        <v>180</v>
      </c>
    </row>
    <row r="5" ht="55.5" customHeight="1">
      <c r="A5" s="7" t="s">
        <v>660</v>
      </c>
      <c r="B5" s="5" t="s">
        <v>662</v>
      </c>
      <c r="C5" s="6" t="s">
        <v>664</v>
      </c>
      <c r="D5" s="6" t="s">
        <v>665</v>
      </c>
      <c r="E5" s="8" t="s">
        <v>666</v>
      </c>
    </row>
    <row r="6" ht="42.0" customHeight="1">
      <c r="A6" s="10" t="s">
        <v>671</v>
      </c>
      <c r="B6" s="11" t="s">
        <v>672</v>
      </c>
      <c r="C6" s="13" t="s">
        <v>673</v>
      </c>
      <c r="D6" s="13" t="s">
        <v>674</v>
      </c>
      <c r="E6" s="12" t="s">
        <v>61</v>
      </c>
    </row>
    <row r="7" ht="39.75" customHeight="1">
      <c r="A7" s="7" t="s">
        <v>677</v>
      </c>
      <c r="B7" s="5" t="s">
        <v>679</v>
      </c>
      <c r="C7" s="6" t="s">
        <v>681</v>
      </c>
      <c r="D7" s="6" t="s">
        <v>682</v>
      </c>
      <c r="E7" s="8" t="s">
        <v>61</v>
      </c>
    </row>
    <row r="8" ht="39.75" customHeight="1">
      <c r="A8" s="10" t="s">
        <v>684</v>
      </c>
      <c r="B8" s="11" t="s">
        <v>686</v>
      </c>
      <c r="C8" s="13" t="s">
        <v>689</v>
      </c>
      <c r="D8" s="13" t="s">
        <v>690</v>
      </c>
      <c r="E8" s="12" t="s">
        <v>61</v>
      </c>
    </row>
    <row r="9" ht="39.75" customHeight="1">
      <c r="A9" s="7" t="s">
        <v>691</v>
      </c>
      <c r="B9" s="5" t="s">
        <v>692</v>
      </c>
      <c r="C9" s="6" t="s">
        <v>693</v>
      </c>
      <c r="D9" s="6" t="s">
        <v>694</v>
      </c>
      <c r="E9" s="8" t="s">
        <v>61</v>
      </c>
    </row>
    <row r="10" ht="42.0" customHeight="1">
      <c r="A10" s="10" t="s">
        <v>696</v>
      </c>
      <c r="B10" s="11" t="s">
        <v>697</v>
      </c>
      <c r="C10" s="13" t="s">
        <v>698</v>
      </c>
      <c r="D10" s="13" t="s">
        <v>700</v>
      </c>
      <c r="E10" s="12" t="s">
        <v>701</v>
      </c>
    </row>
    <row r="11" ht="42.0" customHeight="1">
      <c r="A11" s="7" t="s">
        <v>702</v>
      </c>
      <c r="B11" s="5" t="s">
        <v>703</v>
      </c>
      <c r="C11" s="6" t="s">
        <v>704</v>
      </c>
      <c r="D11" s="6" t="s">
        <v>705</v>
      </c>
      <c r="E11" s="8" t="s">
        <v>61</v>
      </c>
    </row>
    <row r="13">
      <c r="A13" s="21" t="s">
        <v>706</v>
      </c>
    </row>
    <row r="14" ht="30.0" customHeight="1">
      <c r="B14" s="5" t="s">
        <v>709</v>
      </c>
      <c r="C14" s="34" t="s">
        <v>712</v>
      </c>
      <c r="D14" s="36"/>
    </row>
    <row r="15" ht="30.0" customHeight="1">
      <c r="B15" s="5" t="s">
        <v>721</v>
      </c>
      <c r="C15" s="34" t="s">
        <v>722</v>
      </c>
      <c r="D15" s="36"/>
    </row>
    <row r="16" ht="30.0" customHeight="1">
      <c r="B16" s="5" t="s">
        <v>723</v>
      </c>
      <c r="C16" s="34" t="s">
        <v>724</v>
      </c>
      <c r="D16" s="36"/>
    </row>
    <row r="17" ht="30.0" customHeight="1">
      <c r="B17" s="5" t="s">
        <v>725</v>
      </c>
      <c r="C17" s="34" t="s">
        <v>726</v>
      </c>
      <c r="D17" s="36"/>
    </row>
    <row r="18" ht="30.0" customHeight="1">
      <c r="B18" s="5" t="s">
        <v>729</v>
      </c>
      <c r="C18" s="34" t="s">
        <v>730</v>
      </c>
      <c r="D18" s="3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14:D14"/>
    <mergeCell ref="C15:D15"/>
    <mergeCell ref="C16:D16"/>
    <mergeCell ref="C17:D17"/>
    <mergeCell ref="C18:D18"/>
  </mergeCells>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4.0"/>
    <col customWidth="1" min="2" max="2" width="22.0"/>
    <col customWidth="1" min="3" max="3" width="58.0"/>
    <col customWidth="1" min="4" max="4" width="12.0"/>
    <col customWidth="1" min="5" max="5" width="22.0"/>
    <col customWidth="1" min="6" max="26" width="8.71"/>
  </cols>
  <sheetData>
    <row r="1" ht="15.0" customHeight="1">
      <c r="A1" s="2" t="s">
        <v>754</v>
      </c>
      <c r="B1" s="37" t="s">
        <v>755</v>
      </c>
      <c r="C1" s="35"/>
      <c r="D1" s="35"/>
      <c r="E1" s="36"/>
    </row>
    <row r="2" ht="42.0" customHeight="1">
      <c r="A2" s="5" t="s">
        <v>758</v>
      </c>
      <c r="B2" s="34" t="s">
        <v>759</v>
      </c>
      <c r="C2" s="35"/>
      <c r="D2" s="35"/>
      <c r="E2" s="36"/>
    </row>
    <row r="3" ht="30.0" customHeight="1">
      <c r="A3" s="5" t="s">
        <v>760</v>
      </c>
      <c r="B3" s="34" t="s">
        <v>761</v>
      </c>
      <c r="C3" s="35"/>
      <c r="D3" s="35"/>
      <c r="E3" s="36"/>
    </row>
    <row r="4" ht="30.0" customHeight="1">
      <c r="A4" s="5" t="s">
        <v>763</v>
      </c>
      <c r="B4" s="34" t="s">
        <v>764</v>
      </c>
      <c r="C4" s="35"/>
      <c r="D4" s="35"/>
      <c r="E4" s="36"/>
    </row>
    <row r="5" ht="30.0" customHeight="1">
      <c r="A5" s="5" t="s">
        <v>766</v>
      </c>
      <c r="B5" s="34" t="s">
        <v>767</v>
      </c>
      <c r="C5" s="35"/>
      <c r="D5" s="35"/>
      <c r="E5" s="36"/>
    </row>
    <row r="6" ht="42.0" customHeight="1">
      <c r="A6" s="5" t="s">
        <v>768</v>
      </c>
      <c r="B6" s="34" t="s">
        <v>770</v>
      </c>
      <c r="C6" s="35"/>
      <c r="D6" s="35"/>
      <c r="E6" s="36"/>
    </row>
    <row r="7" ht="55.5" customHeight="1">
      <c r="A7" s="5" t="s">
        <v>772</v>
      </c>
      <c r="B7" s="34" t="s">
        <v>773</v>
      </c>
      <c r="C7" s="35"/>
      <c r="D7" s="35"/>
      <c r="E7" s="36"/>
    </row>
    <row r="8" ht="42.0" customHeight="1">
      <c r="A8" s="5" t="s">
        <v>774</v>
      </c>
      <c r="B8" s="34" t="s">
        <v>775</v>
      </c>
      <c r="C8" s="35"/>
      <c r="D8" s="35"/>
      <c r="E8" s="36"/>
    </row>
    <row r="10">
      <c r="A10" s="21" t="s">
        <v>780</v>
      </c>
    </row>
    <row r="11">
      <c r="A11" s="5" t="s">
        <v>784</v>
      </c>
      <c r="B11" s="38">
        <v>46317.0</v>
      </c>
    </row>
    <row r="12">
      <c r="A12" s="5" t="s">
        <v>790</v>
      </c>
      <c r="B12" s="38">
        <v>46318.0</v>
      </c>
    </row>
    <row r="13">
      <c r="A13" s="5" t="s">
        <v>791</v>
      </c>
      <c r="B13" s="39" t="s">
        <v>408</v>
      </c>
    </row>
    <row r="14">
      <c r="A14" s="5" t="s">
        <v>792</v>
      </c>
      <c r="B14" s="39" t="s">
        <v>793</v>
      </c>
    </row>
    <row r="16">
      <c r="A16" s="21" t="s">
        <v>795</v>
      </c>
    </row>
    <row r="17">
      <c r="A17" s="2" t="s">
        <v>20</v>
      </c>
      <c r="B17" s="2" t="s">
        <v>798</v>
      </c>
      <c r="C17" s="2" t="s">
        <v>5</v>
      </c>
    </row>
    <row r="18">
      <c r="A18" s="9">
        <v>1.0</v>
      </c>
      <c r="B18" s="39" t="s">
        <v>799</v>
      </c>
      <c r="C18" s="6" t="s">
        <v>801</v>
      </c>
    </row>
    <row r="19">
      <c r="A19" s="9">
        <v>2.0</v>
      </c>
      <c r="B19" s="39" t="s">
        <v>805</v>
      </c>
      <c r="C19" s="6" t="s">
        <v>807</v>
      </c>
    </row>
    <row r="20">
      <c r="A20" s="9">
        <v>3.0</v>
      </c>
      <c r="B20" s="39" t="s">
        <v>810</v>
      </c>
      <c r="C20" s="6" t="s">
        <v>811</v>
      </c>
    </row>
    <row r="21" ht="15.75" customHeight="1">
      <c r="A21" s="9">
        <v>4.0</v>
      </c>
      <c r="B21" s="39" t="s">
        <v>812</v>
      </c>
      <c r="C21" s="6" t="s">
        <v>813</v>
      </c>
    </row>
    <row r="22" ht="15.75" customHeight="1">
      <c r="A22" s="9">
        <v>5.0</v>
      </c>
      <c r="B22" s="39" t="s">
        <v>815</v>
      </c>
      <c r="C22" s="6" t="s">
        <v>816</v>
      </c>
    </row>
    <row r="23" ht="15.75" customHeight="1"/>
    <row r="24" ht="15.75" customHeight="1">
      <c r="A24" s="21" t="s">
        <v>818</v>
      </c>
    </row>
    <row r="25" ht="15.75" customHeight="1">
      <c r="A25" s="2" t="s">
        <v>20</v>
      </c>
      <c r="B25" s="2" t="s">
        <v>798</v>
      </c>
      <c r="C25" s="2" t="s">
        <v>5</v>
      </c>
    </row>
    <row r="26" ht="15.75" customHeight="1">
      <c r="A26" s="9">
        <v>1.0</v>
      </c>
      <c r="B26" s="39" t="s">
        <v>819</v>
      </c>
      <c r="C26" s="6" t="s">
        <v>820</v>
      </c>
    </row>
    <row r="27" ht="15.75" customHeight="1">
      <c r="A27" s="9">
        <v>2.0</v>
      </c>
      <c r="B27" s="39" t="s">
        <v>821</v>
      </c>
      <c r="C27" s="6" t="s">
        <v>822</v>
      </c>
    </row>
    <row r="28" ht="15.75" customHeight="1">
      <c r="A28" s="9">
        <v>3.0</v>
      </c>
      <c r="B28" s="39" t="s">
        <v>823</v>
      </c>
      <c r="C28" s="6" t="s">
        <v>824</v>
      </c>
    </row>
    <row r="29" ht="15.75" customHeight="1">
      <c r="A29" s="9">
        <v>4.0</v>
      </c>
      <c r="B29" s="39" t="s">
        <v>825</v>
      </c>
      <c r="C29" s="6" t="s">
        <v>826</v>
      </c>
    </row>
    <row r="30" ht="15.75" customHeight="1">
      <c r="A30" s="9">
        <v>5.0</v>
      </c>
      <c r="B30" s="39" t="s">
        <v>828</v>
      </c>
      <c r="C30" s="6" t="s">
        <v>829</v>
      </c>
    </row>
    <row r="31" ht="15.75" customHeight="1"/>
    <row r="32" ht="15.75" customHeight="1">
      <c r="A32" s="21" t="s">
        <v>831</v>
      </c>
    </row>
    <row r="33" ht="15.75" customHeight="1">
      <c r="A33" s="2" t="s">
        <v>832</v>
      </c>
      <c r="B33" s="2" t="s">
        <v>833</v>
      </c>
      <c r="C33" s="2" t="s">
        <v>834</v>
      </c>
      <c r="D33" s="2" t="s">
        <v>26</v>
      </c>
      <c r="E33" s="2" t="s">
        <v>36</v>
      </c>
    </row>
    <row r="34" ht="15.75" customHeight="1">
      <c r="A34" s="5" t="s">
        <v>48</v>
      </c>
      <c r="B34" s="9">
        <v>20.0</v>
      </c>
      <c r="C34" s="6" t="s">
        <v>835</v>
      </c>
      <c r="D34" s="9" t="s">
        <v>598</v>
      </c>
      <c r="E34" s="9">
        <v>7.0</v>
      </c>
    </row>
    <row r="35" ht="15.75" customHeight="1">
      <c r="A35" s="5" t="s">
        <v>134</v>
      </c>
      <c r="B35" s="9">
        <v>12.0</v>
      </c>
      <c r="C35" s="6" t="s">
        <v>836</v>
      </c>
      <c r="D35" s="9" t="s">
        <v>608</v>
      </c>
      <c r="E35" s="9">
        <v>30.0</v>
      </c>
    </row>
    <row r="36" ht="15.75" customHeight="1">
      <c r="A36" s="5" t="s">
        <v>137</v>
      </c>
      <c r="B36" s="9">
        <v>8.0</v>
      </c>
      <c r="C36" s="6" t="s">
        <v>837</v>
      </c>
      <c r="D36" s="9" t="s">
        <v>615</v>
      </c>
      <c r="E36" s="9">
        <v>90.0</v>
      </c>
    </row>
    <row r="37" ht="15.75" customHeight="1">
      <c r="A37" s="5" t="s">
        <v>138</v>
      </c>
      <c r="B37" s="9">
        <v>1.0</v>
      </c>
      <c r="C37" s="6" t="s">
        <v>839</v>
      </c>
      <c r="D37" s="9" t="s">
        <v>622</v>
      </c>
      <c r="E37" s="9">
        <v>180.0</v>
      </c>
    </row>
    <row r="38" ht="15.0" customHeight="1">
      <c r="A38" s="5" t="s">
        <v>841</v>
      </c>
      <c r="B38" s="34" t="s">
        <v>843</v>
      </c>
      <c r="C38" s="35"/>
      <c r="D38" s="35"/>
      <c r="E38" s="36"/>
    </row>
    <row r="39" ht="30.0" customHeight="1">
      <c r="A39" s="5" t="s">
        <v>844</v>
      </c>
      <c r="B39" s="34" t="s">
        <v>845</v>
      </c>
      <c r="C39" s="35"/>
      <c r="D39" s="35"/>
      <c r="E39" s="36"/>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8:E8"/>
    <mergeCell ref="B38:E38"/>
    <mergeCell ref="B39:E39"/>
    <mergeCell ref="B1:E1"/>
    <mergeCell ref="B2:E2"/>
    <mergeCell ref="B3:E3"/>
    <mergeCell ref="B4:E4"/>
    <mergeCell ref="B5:E5"/>
    <mergeCell ref="B6:E6"/>
    <mergeCell ref="B7:E7"/>
  </mergeCells>
  <conditionalFormatting sqref="A34:A37">
    <cfRule type="cellIs" dxfId="0" priority="1" operator="equal">
      <formula>"Critical"</formula>
    </cfRule>
  </conditionalFormatting>
  <conditionalFormatting sqref="A34:A37">
    <cfRule type="cellIs" dxfId="1" priority="2" operator="equal">
      <formula>"High"</formula>
    </cfRule>
  </conditionalFormatting>
  <conditionalFormatting sqref="A34:A37">
    <cfRule type="cellIs" dxfId="2" priority="3" operator="equal">
      <formula>"Medium"</formula>
    </cfRule>
  </conditionalFormatting>
  <conditionalFormatting sqref="A34:A37">
    <cfRule type="cellIs" dxfId="3" priority="4" operator="equal">
      <formula>"Low"</formula>
    </cfRule>
  </conditionalFormatting>
  <conditionalFormatting sqref="A34:A37">
    <cfRule type="cellIs" dxfId="4" priority="5" operator="equal">
      <formula>"Info"</formula>
    </cfRule>
  </conditionalFormatting>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2026-10-23T09:45:36Z</dcterms:created>
  <dc:creator>openpyxl</dc:creator>
</cp:coreProperties>
</file>

<file path=docProps/custom.xml><?xml version="1.0" encoding="utf-8"?>
<Properties xmlns="http://schemas.openxmlformats.org/officeDocument/2006/custom-properties" xmlns:vt="http://schemas.openxmlformats.org/officeDocument/2006/docPropsVTypes"/>
</file>