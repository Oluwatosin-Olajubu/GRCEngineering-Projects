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Dashboard" sheetId="2" r:id="rId5"/>
    <sheet state="visible" name="Inputs" sheetId="3" r:id="rId6"/>
    <sheet state="visible" name="Assumptions" sheetId="4" r:id="rId7"/>
    <sheet state="visible" name="Risk_Calc" sheetId="5" r:id="rId8"/>
    <sheet state="visible" name="Risk_Matrix" sheetId="6" r:id="rId9"/>
    <sheet state="visible" name="Control_Analysis" sheetId="7" r:id="rId10"/>
    <sheet state="visible" name="Timeline" sheetId="8" r:id="rId11"/>
    <sheet state="visible" name="Gantt" sheetId="9" r:id="rId12"/>
    <sheet state="visible" name="Budget_Optimiser" sheetId="10" r:id="rId13"/>
    <sheet state="visible" name="Sensitivity" sheetId="11" r:id="rId14"/>
    <sheet state="visible" name="Chart_Data" sheetId="12" r:id="rId15"/>
    <sheet state="visible" name="Charts" sheetId="13" r:id="rId16"/>
  </sheets>
  <definedNames/>
  <calcPr/>
  <extLst>
    <ext uri="GoogleSheetsCustomDataVersion2">
      <go:sheetsCustomData xmlns:go="http://customooxmlschemas.google.com/" r:id="rId17" roundtripDataChecksum="ofJIcq4xHgeM9ySPXCed9r8PJbCCxPgIpK+Gc5trG8A="/>
    </ext>
  </extLst>
</workbook>
</file>

<file path=xl/sharedStrings.xml><?xml version="1.0" encoding="utf-8"?>
<sst xmlns="http://schemas.openxmlformats.org/spreadsheetml/2006/main" count="526" uniqueCount="432">
  <si>
    <t>Assumption register – supplied figures vs my own assumptions</t>
  </si>
  <si>
    <t>Lab 3b: Advanced Cybersecurity Risk Quantification – SecureBank Financial / SecureMobile</t>
  </si>
  <si>
    <t>Inputs – supplied figures (blue) and my assumptions  are colored (blue on yellow)</t>
  </si>
  <si>
    <t>Anything not stated in the lab brief is listed here so the CISO / CFO can challenge it.</t>
  </si>
  <si>
    <t>Prepared by (name)</t>
  </si>
  <si>
    <t>Every calculation in this workbook reads from this sheet. Change a value here and all sheets, charts and the dashboard update.</t>
  </si>
  <si>
    <t>Parameter</t>
  </si>
  <si>
    <t>ID</t>
  </si>
  <si>
    <t>Oluwatosin Olajubu</t>
  </si>
  <si>
    <t>Assumption</t>
  </si>
  <si>
    <t>Value</t>
  </si>
  <si>
    <t>Rationale</t>
  </si>
  <si>
    <t>Unit</t>
  </si>
  <si>
    <t>Registration number</t>
  </si>
  <si>
    <t>Effect if the assumption is wrong</t>
  </si>
  <si>
    <t>Type</t>
  </si>
  <si>
    <t>Source / note</t>
  </si>
  <si>
    <t>C11/26/CGRCE/217602</t>
  </si>
  <si>
    <t>A. System context</t>
  </si>
  <si>
    <t>Date</t>
  </si>
  <si>
    <t>A-01</t>
  </si>
  <si>
    <t>27 October 2026</t>
  </si>
  <si>
    <t>Role in scenario</t>
  </si>
  <si>
    <t>Lead GRC Analyst, SecureBank Financial (reviewed by CISO and CFO)</t>
  </si>
  <si>
    <t>Each supplied 'exploit probability' is the probability of one exploitation event in a 12-month period, so ARO = that probability.</t>
  </si>
  <si>
    <t>The brief gives probabilities but not an explicit time basis; annual is the standard ALE convention.</t>
  </si>
  <si>
    <t>ARO and every ALE scale proportionally (see Sensitivity).</t>
  </si>
  <si>
    <t>Colour code</t>
  </si>
  <si>
    <t>A-02</t>
  </si>
  <si>
    <t>Finding 1 SLE = the supplied maximum single-incident loss ($5,000,000) × 1 incident. The 48-hour detection time is context and is not used to derive a different loss.</t>
  </si>
  <si>
    <t>The brief provides the loss figure directly; using it is the conservative (worst-case) reading.</t>
  </si>
  <si>
    <t>If actual loss per event is lower, ALE and API Gateway ROI fall (see Sensitivity table 3).</t>
  </si>
  <si>
    <t>A-03</t>
  </si>
  <si>
    <t>Finding 2 SLE = 500,000 records × $250 = full-population breach in one event.</t>
  </si>
  <si>
    <t>Blue text</t>
  </si>
  <si>
    <t>Active customers</t>
  </si>
  <si>
    <t>Brief states 'Records at Risk: 500,000' and cost per record; full exposure is the supplied worst case.</t>
  </si>
  <si>
    <t>A smaller breach lowers ALE; WAF stays justified at very low scales (Sensitivity table 2).</t>
  </si>
  <si>
    <t>A-04</t>
  </si>
  <si>
    <t>Finding 3 SLE = 5,000 accounts × $1,500 = all at-risk accounts compromised in one event.</t>
  </si>
  <si>
    <t>Hard-coded input taken from the lab brief (SUPPLIED figure)</t>
  </si>
  <si>
    <t>Brief states accounts at risk and average loss per account.</t>
  </si>
  <si>
    <t>Smaller compromise lowers ALE proportionally.</t>
  </si>
  <si>
    <t>A-05</t>
  </si>
  <si>
    <t>Blue text on yellow</t>
  </si>
  <si>
    <t>Control mapping: API Gateway → Finding 1; WAF → Finding 2; MFA → Finding 3. No control reduces any other finding.</t>
  </si>
  <si>
    <t>Matches the brief's wording (API vulnerabilities / web vulnerabilities / account takeover). Ignoring cross-benefits is conservative.</t>
  </si>
  <si>
    <t>Cross-benefits would raise risk reduction and ROI.</t>
  </si>
  <si>
    <t>customers</t>
  </si>
  <si>
    <t>A-06</t>
  </si>
  <si>
    <t>Analyst ASSUMPTION (not in the brief) – change it and everything recalculates</t>
  </si>
  <si>
    <t>Effectiveness is applied as a proportional reduction of the finding's ALE (lower likelihood); SLE is unchanged.</t>
  </si>
  <si>
    <t>Supplied</t>
  </si>
  <si>
    <t>The brief gives '% reduction in vulnerabilities', a likelihood-type measure.</t>
  </si>
  <si>
    <t>Black text</t>
  </si>
  <si>
    <t>If effectiveness only partly applies, reduction and ROI fall proportionally.</t>
  </si>
  <si>
    <t>Formula on the same sheet</t>
  </si>
  <si>
    <t>Lab brief</t>
  </si>
  <si>
    <t>A-07</t>
  </si>
  <si>
    <t>Year-1 cost = initial investment + one year of maintenance. Costs are not discounted, inflated, taxed or given a residual value. Maintenance is paid every year from go-live.</t>
  </si>
  <si>
    <t>Green text</t>
  </si>
  <si>
    <t>Keeps the maths transparent and reproducible by hand.</t>
  </si>
  <si>
    <t>Average transaction value</t>
  </si>
  <si>
    <t>Discounting would slightly lower multi-year ROI.</t>
  </si>
  <si>
    <t>Formula that pulls from another sheet</t>
  </si>
  <si>
    <t>A-08</t>
  </si>
  <si>
    <t>ROI = (benefit − cost) ÷ cost. Payback = initial investment ÷ (annual risk reduction − annual maintenance), assuming a constant annual benefit.</t>
  </si>
  <si>
    <t>Sheet guide</t>
  </si>
  <si>
    <t>Standard security-investment ROI; payback measured on steady-state benefit.</t>
  </si>
  <si>
    <t>Benefit is probabilistic, so realised payback may vary.</t>
  </si>
  <si>
    <t>Inputs</t>
  </si>
  <si>
    <t>$ per transaction</t>
  </si>
  <si>
    <t>A-09</t>
  </si>
  <si>
    <t>Decision hurdle: 'Implement' if payback ≤ 1 year AND ROI over the 3-year horizon ≥ 100%.</t>
  </si>
  <si>
    <t>All supplied figures and analyst assumptions in one place (Task 1 inputs)</t>
  </si>
  <si>
    <t>A typical CFO-style hurdle; editable on Inputs.</t>
  </si>
  <si>
    <t>Assumptions</t>
  </si>
  <si>
    <t>Changing the hurdle can change the recommendation column.</t>
  </si>
  <si>
    <t>Daily transactions</t>
  </si>
  <si>
    <t>Assumption register: what was assumed, why, and what happens if it is wrong</t>
  </si>
  <si>
    <t>A-10</t>
  </si>
  <si>
    <t>Risk_Calc</t>
  </si>
  <si>
    <t>transactions/day</t>
  </si>
  <si>
    <t>Task 1 – SLE, ARO, ALE per vulnerability with working shown</t>
  </si>
  <si>
    <t>Risk_Matrix</t>
  </si>
  <si>
    <t>Task 2 – risk prioritisation matrix and probability-impact heat map</t>
  </si>
  <si>
    <t>Control_Analysis</t>
  </si>
  <si>
    <t>Task 4 – step-by-step cost-benefit analysis: risk reduction, residual risk, ROI, payback</t>
  </si>
  <si>
    <t>Risk priority bands: Critical ≥ $10M ALE, High ≥ $1M, Medium ≥ $100k, else Low. Probability: High ≥ 30%, Medium ≥ 10%. Impact (SLE): High ≥ $10M, Medium ≥ $1M.</t>
  </si>
  <si>
    <t>The brief does not define bands; these are proportionate to the scale of the data set.</t>
  </si>
  <si>
    <t>Different thresholds can change labels but not the ALE ranking.</t>
  </si>
  <si>
    <t>A-11</t>
  </si>
  <si>
    <t>Timeline: controls go live when their deployment tasks finish on the Gantt chart (WAF day 30; MFA and API Gateway day 90), protect from the following month, 30 days = 1 month, effectiveness constant.</t>
  </si>
  <si>
    <t>Derived from the risk treatment plan so the line graph and Gantt agree.</t>
  </si>
  <si>
    <t>Slower delivery delays Year-1 benefit.</t>
  </si>
  <si>
    <t>Daily transaction value (derived)</t>
  </si>
  <si>
    <t>A-12</t>
  </si>
  <si>
    <t>Customers (500,000), average transaction ($2,500) and daily transactions (50,000) are context. They are not used in ALE because the brief supplies finding-specific loss figures.</t>
  </si>
  <si>
    <t>Avoids double counting. For scale: daily transaction value = $125M, so a 48-hour exposure could exceed the $5M cap; the cap is used as supplied.</t>
  </si>
  <si>
    <t>None on the calculations.</t>
  </si>
  <si>
    <t>A-13</t>
  </si>
  <si>
    <t>Gantt task start days, durations and owners are analyst planning estimates.</t>
  </si>
  <si>
    <t>No schedule was supplied.</t>
  </si>
  <si>
    <t>Dates move; costs and ALE do not.</t>
  </si>
  <si>
    <t>A-14</t>
  </si>
  <si>
    <t>Budget optimiser compares capital (initial) cost only and tests all 8 combinations of the 3 controls.</t>
  </si>
  <si>
    <t>Exhaustive search is exact for 3 controls.</t>
  </si>
  <si>
    <t>Including maintenance in the budget would tighten feasibility.</t>
  </si>
  <si>
    <t>Timeline</t>
  </si>
  <si>
    <t>Task 5 – month-by-month risk reduction over time (line graph data)</t>
  </si>
  <si>
    <t>Gantt</t>
  </si>
  <si>
    <t>Task 7 – risk treatment plan (30 days / 90 days / 1 year)</t>
  </si>
  <si>
    <t>Budget_Optimiser</t>
  </si>
  <si>
    <t>Bonus – optimal control selection under budget constraints (all 8 combinations tested)</t>
  </si>
  <si>
    <t>Sensitivity</t>
  </si>
  <si>
    <t>Break-even and what-if tables that stress-test the assumptions</t>
  </si>
  <si>
    <t>Chart_Data</t>
  </si>
  <si>
    <t>Tables feeding the charts</t>
  </si>
  <si>
    <t>Charts</t>
  </si>
  <si>
    <t>Native Excel charts for Tasks 3 and 5 and the required visualisations</t>
  </si>
  <si>
    <t>Dashboard</t>
  </si>
  <si>
    <t>Task 6 – one-page executive dashboard</t>
  </si>
  <si>
    <t>Core formulas used</t>
  </si>
  <si>
    <t>SLE (Single Loss Expectancy) = impact driver A × impact driver B  (e.g. records × cost per record)</t>
  </si>
  <si>
    <t>$ per day</t>
  </si>
  <si>
    <t>Derived</t>
  </si>
  <si>
    <t>Context only – not used in ALE (see assumption A-12)</t>
  </si>
  <si>
    <t>B. Critical Finding 1 – API Authentication Bypass</t>
  </si>
  <si>
    <t>Exploit probability</t>
  </si>
  <si>
    <t>ARO (Annual Rate of Occurrence) = supplied exploit probability, read as expected incidents per year</t>
  </si>
  <si>
    <t>ALE (Annualised Loss Expectancy) = SLE × ARO</t>
  </si>
  <si>
    <t>Annual risk reduction = baseline ALE of the finding the control addresses × control effectiveness</t>
  </si>
  <si>
    <t>Residual ALE = baseline ALE − annual risk reduction</t>
  </si>
  <si>
    <t>per year</t>
  </si>
  <si>
    <t>Year-1 cost = initial investment + annual maintenance;  3-year TCO = initial + maintenance × 3</t>
  </si>
  <si>
    <t>Lab brief (read as annual probability – assumption A-01)</t>
  </si>
  <si>
    <t>ROI = (benefit − cost) ÷ cost   (shown for Year 1 and over the 3-year horizon)</t>
  </si>
  <si>
    <t>Maximum single incident loss</t>
  </si>
  <si>
    <t>Payback period (years) = initial investment ÷ (annual risk reduction − annual maintenance)</t>
  </si>
  <si>
    <t>$</t>
  </si>
  <si>
    <t>Estimated detection time</t>
  </si>
  <si>
    <t>hours</t>
  </si>
  <si>
    <t>Lab brief (context; not separately modelled – A-02)</t>
  </si>
  <si>
    <t>C. Critical Finding 2 – Database Injection Vulnerability</t>
  </si>
  <si>
    <t>Records at risk</t>
  </si>
  <si>
    <t>customer profiles</t>
  </si>
  <si>
    <t>Cost per record (regulatory + notification)</t>
  </si>
  <si>
    <t>$ per record</t>
  </si>
  <si>
    <t>D. Critical Finding 3 – Session Hijacking</t>
  </si>
  <si>
    <t>Accounts at risk (simultaneous sessions)</t>
  </si>
  <si>
    <t>accounts</t>
  </si>
  <si>
    <t>Average loss per account</t>
  </si>
  <si>
    <t>$ per account</t>
  </si>
  <si>
    <t>E. Control options (cost and effectiveness supplied; finding mapping and go-live are assumptions)</t>
  </si>
  <si>
    <t>Control</t>
  </si>
  <si>
    <t>Initial cost ($)</t>
  </si>
  <si>
    <t>Effectiveness (risk reduction)</t>
  </si>
  <si>
    <t>Annual maintenance ($)</t>
  </si>
  <si>
    <t>Finding addressed (ASSUMPTION A-05)</t>
  </si>
  <si>
    <t>Go-live month (ASSUMPTION – derived from Gantt)</t>
  </si>
  <si>
    <t>Advanced API Security Gateway</t>
  </si>
  <si>
    <t>F1</t>
  </si>
  <si>
    <t>Web Application Firewall (WAF)</t>
  </si>
  <si>
    <t>F2</t>
  </si>
  <si>
    <t>Multi-Factor Authentication Enhancement</t>
  </si>
  <si>
    <t>F3</t>
  </si>
  <si>
    <t>F. Analyst assumptions (all adjustable)</t>
  </si>
  <si>
    <t>ROI / total-cost-of-ownership horizon</t>
  </si>
  <si>
    <t>years</t>
  </si>
  <si>
    <t>A-09: typical 3-year security investment horizon</t>
  </si>
  <si>
    <t>Maximum acceptable payback period</t>
  </si>
  <si>
    <t>A-09: decision hurdle for 'Implement'</t>
  </si>
  <si>
    <t>Minimum acceptable ROI over horizon</t>
  </si>
  <si>
    <t>ratio (1 = 100%)</t>
  </si>
  <si>
    <t>Risk priority 'Critical' if ALE ≥</t>
  </si>
  <si>
    <t>$ per year</t>
  </si>
  <si>
    <t>Risk priority 'High' if ALE ≥</t>
  </si>
  <si>
    <t>Risk priority 'Medium' if ALE ≥</t>
  </si>
  <si>
    <t>A-10 (below this = Low)</t>
  </si>
  <si>
    <t>Probability band 'High' if ARO ≥</t>
  </si>
  <si>
    <t>Probability band 'Medium' if ARO ≥</t>
  </si>
  <si>
    <t>Impact band 'High' if SLE ≥</t>
  </si>
  <si>
    <t>Impact band 'Medium' if SLE ≥</t>
  </si>
  <si>
    <t>Days per month (timeline conversion)</t>
  </si>
  <si>
    <t>days</t>
  </si>
  <si>
    <t>Finding 1: incidents per loss event (multiplier)</t>
  </si>
  <si>
    <t>x</t>
  </si>
  <si>
    <t>A-02: the brief gives one maximum single-incident loss, so multiplier = 1</t>
  </si>
  <si>
    <t>Task 1 – Annualised Loss Expectancy (ALE) per vulnerability</t>
  </si>
  <si>
    <t>SLE = Driver A × Driver B   |   ARO = exploit probability per year   |   ALE = SLE × ARO.  The 'Working shown' column writes the substituted numbers out.</t>
  </si>
  <si>
    <t>Task 2 – Risk prioritisation matrix and probability-impact heat map</t>
  </si>
  <si>
    <t>Vulnerability</t>
  </si>
  <si>
    <t>Driver A (what it is)</t>
  </si>
  <si>
    <t>Priority level is set by ALE size (thresholds on Inputs). The heat map places each finding by probability band (ARO) and impact band (SLE).</t>
  </si>
  <si>
    <t>Driver A value</t>
  </si>
  <si>
    <t>Driver B (what it is)</t>
  </si>
  <si>
    <t>Driver B value</t>
  </si>
  <si>
    <t>SLE ($)
= A × B</t>
  </si>
  <si>
    <t>ARO (per year)</t>
  </si>
  <si>
    <t>SLE ($)</t>
  </si>
  <si>
    <t>ALE ($ / year)
= SLE × ARO</t>
  </si>
  <si>
    <t>Share of total ALE</t>
  </si>
  <si>
    <t>ALE ($ / year)</t>
  </si>
  <si>
    <t>ALE rank</t>
  </si>
  <si>
    <t>Working shown</t>
  </si>
  <si>
    <t>Probability band</t>
  </si>
  <si>
    <t>Impact band</t>
  </si>
  <si>
    <t>P score (1-3)</t>
  </si>
  <si>
    <t>I score (1-3)</t>
  </si>
  <si>
    <t>Risk score
= P × I</t>
  </si>
  <si>
    <t>Heat-map rating</t>
  </si>
  <si>
    <t>Risk priority level (by ALE)</t>
  </si>
  <si>
    <t>F1 – API Authentication Bypass</t>
  </si>
  <si>
    <t>Maximum single incident loss ($)</t>
  </si>
  <si>
    <t>Incidents per loss event (x)</t>
  </si>
  <si>
    <t>F2 – Database Injection Vulnerability</t>
  </si>
  <si>
    <t>Records at risk (records)</t>
  </si>
  <si>
    <t>Cost per record ($)</t>
  </si>
  <si>
    <t>F3 – Session Hijacking</t>
  </si>
  <si>
    <t>Accounts at risk (accounts)</t>
  </si>
  <si>
    <t>Average loss per account ($)</t>
  </si>
  <si>
    <t>TOTAL</t>
  </si>
  <si>
    <t>Task 4 – Control cost-benefit analysis (step by step)</t>
  </si>
  <si>
    <t>Read each column top to bottom: every step uses the steps above it. Column B states the formula in words.</t>
  </si>
  <si>
    <t>Step</t>
  </si>
  <si>
    <t>Calculation</t>
  </si>
  <si>
    <t>Reading the table: SLE is the loss from ONE incident; ARO is how many incidents to expect per year; ALE is the expected yearly loss (a long-run average, not a prediction of any one year).</t>
  </si>
  <si>
    <t>Portfolio (all 3 controls)</t>
  </si>
  <si>
    <t>Finding addressed</t>
  </si>
  <si>
    <t>Assumption A-05 (Inputs)</t>
  </si>
  <si>
    <t>1  Baseline ALE ($/yr)</t>
  </si>
  <si>
    <t>ALE of the finding addressed (from Risk_Calc)</t>
  </si>
  <si>
    <t>Probability-impact heat map (cells show which findings fall in each band)</t>
  </si>
  <si>
    <t>Impact (SLE) ↓   |   Probability (ARO) →</t>
  </si>
  <si>
    <t>2  Effectiveness (%)</t>
  </si>
  <si>
    <t>Supplied in brief</t>
  </si>
  <si>
    <t>3  Annual risk reduction ($/yr)</t>
  </si>
  <si>
    <t>Step 1 × Step 2</t>
  </si>
  <si>
    <t>4  Residual ALE ($/yr)</t>
  </si>
  <si>
    <t>Step 1 − Step 3</t>
  </si>
  <si>
    <t>5  Initial investment ($)</t>
  </si>
  <si>
    <t>6  Annual maintenance ($/yr)</t>
  </si>
  <si>
    <t>7  Year-1 total cost ($)</t>
  </si>
  <si>
    <t>Step 5 + Step 6</t>
  </si>
  <si>
    <t>8  Year-1 net benefit ($)</t>
  </si>
  <si>
    <t>Step 3 − Step 7</t>
  </si>
  <si>
    <t>9  Year-1 ROI (%)</t>
  </si>
  <si>
    <t>Step 8 ÷ Step 7</t>
  </si>
  <si>
    <t>10  3-year total cost ($)</t>
  </si>
  <si>
    <t>Step 5 + (Step 6 × years)</t>
  </si>
  <si>
    <t>11  3-year risk reduction ($)</t>
  </si>
  <si>
    <t>Step 3 × years</t>
  </si>
  <si>
    <t>12  3-year net benefit ($)</t>
  </si>
  <si>
    <t>Step 11 − Step 10</t>
  </si>
  <si>
    <t>13  3-year ROI (%)</t>
  </si>
  <si>
    <t>Step 12 ÷ Step 10</t>
  </si>
  <si>
    <t>14  Payback period (years)</t>
  </si>
  <si>
    <t>Step 5 ÷ (Step 3 − Step 6)</t>
  </si>
  <si>
    <t>How to read: Risk score = P score × I score (Low = 1, Medium = 2, High = 3). Score ≥ 6 = High (red), 3-4 = Medium (amber), ≤ 2 = Low (green).</t>
  </si>
  <si>
    <t>Priority level (column M) uses ALE size instead, so a very large loss with moderate probability (F2) is flagged Critical.</t>
  </si>
  <si>
    <t>15  Payback period (months)</t>
  </si>
  <si>
    <t>Step 14 × 12</t>
  </si>
  <si>
    <t>Task 5 – Risk reduction over time (monthly expected loss, first 12 months)</t>
  </si>
  <si>
    <t>A control protects from the month AFTER its go-live month. Monthly expected loss = ALE ÷ 12 × (1 − effectiveness × live flag).</t>
  </si>
  <si>
    <t>Month</t>
  </si>
  <si>
    <t>API Gateway live? (1/0)</t>
  </si>
  <si>
    <t>WAF live? (1/0)</t>
  </si>
  <si>
    <t>MFA live? (1/0)</t>
  </si>
  <si>
    <t>F1 baseline loss ($/mo)</t>
  </si>
  <si>
    <t>F2 baseline loss ($/mo)</t>
  </si>
  <si>
    <t>F3 baseline loss ($/mo)</t>
  </si>
  <si>
    <t>Total baseline loss ($/mo)</t>
  </si>
  <si>
    <t>Expected loss WITH controls ($/mo)</t>
  </si>
  <si>
    <t>Cumulative loss – no controls ($)</t>
  </si>
  <si>
    <t>Cumulative loss – with controls ($)</t>
  </si>
  <si>
    <t>Cumulative loss avoided ($)</t>
  </si>
  <si>
    <t>Control spend this month ($)</t>
  </si>
  <si>
    <t>Cumulative control spend ($)</t>
  </si>
  <si>
    <t>Cumulative net benefit ($)</t>
  </si>
  <si>
    <t>16  Payback period (days)</t>
  </si>
  <si>
    <t>Step 14 × 365</t>
  </si>
  <si>
    <t>Implementation priority (1 = first)</t>
  </si>
  <si>
    <t>Rank of Step 3 (largest risk reduction first)</t>
  </si>
  <si>
    <t>Recommendation</t>
  </si>
  <si>
    <t>Implement if payback ≤ max payback AND 3-year ROI ≥ minimum (Inputs B29, B30)</t>
  </si>
  <si>
    <t>Go-live month (assumption, from Gantt)</t>
  </si>
  <si>
    <t>Month the control becomes operational</t>
  </si>
  <si>
    <t>Substituted working (the same steps with the numbers written in)</t>
  </si>
  <si>
    <t>Step 3 – risk reduction</t>
  </si>
  <si>
    <t>Executive Risk Dashboard – SecureMobile Banking Platform</t>
  </si>
  <si>
    <t>Step 9 – Year-1 ROI</t>
  </si>
  <si>
    <t>Step 13 – 3-year ROI</t>
  </si>
  <si>
    <t>Baseline ALE ($/yr)</t>
  </si>
  <si>
    <t>Residual ALE after controls ($/yr)</t>
  </si>
  <si>
    <t>Annual risk reduction ($/yr)</t>
  </si>
  <si>
    <t>Risk reduction (%)</t>
  </si>
  <si>
    <t>Total initial investment ($)</t>
  </si>
  <si>
    <t>Portfolio Year-1 ROI (%)</t>
  </si>
  <si>
    <t>Portfolio payback (days)</t>
  </si>
  <si>
    <t>Step 14 – payback</t>
  </si>
  <si>
    <t>Note: ROI here is (risk reduction − cost) ÷ cost. Because the benefit of WAF is very large relative to its cost, its ROI is extremely high; see the Sensitivity sheet for how far the assumptions can fall before the control stops paying back.</t>
  </si>
  <si>
    <t>Top 3 risks with financial impact (ranked by ALE)</t>
  </si>
  <si>
    <t>Rank</t>
  </si>
  <si>
    <t>Priority level</t>
  </si>
  <si>
    <t>Recommended controls (ordered by risk reduction)</t>
  </si>
  <si>
    <t>Priority</t>
  </si>
  <si>
    <t>Annual risk reduction ($)</t>
  </si>
  <si>
    <t>Year-1 ROI (%)</t>
  </si>
  <si>
    <t>Payback (days)</t>
  </si>
  <si>
    <t>Decision</t>
  </si>
  <si>
    <t>Bonus – Optimal control selection under budget constraints</t>
  </si>
  <si>
    <t>All 8 combinations of the 3 controls are evaluated (1 = included). For each budget the feasible combination with the largest annual risk reduction is chosen.</t>
  </si>
  <si>
    <t>#</t>
  </si>
  <si>
    <t>Combination</t>
  </si>
  <si>
    <t>API Gateway (1/0)</t>
  </si>
  <si>
    <t>WAF (1/0)</t>
  </si>
  <si>
    <t>MFA (1/0)</t>
  </si>
  <si>
    <t>Capital cost ($)</t>
  </si>
  <si>
    <t>Residual ALE ($)</t>
  </si>
  <si>
    <t>None</t>
  </si>
  <si>
    <t>API Gateway</t>
  </si>
  <si>
    <t>Task 7 – Risk treatment plan (Gantt chart)</t>
  </si>
  <si>
    <t>Start day and duration are editable planning assumptions (blue/yellow). End day = Start + Duration − 1. Each coloured block = a 15-day window in which the task is active.</t>
  </si>
  <si>
    <t>Day window starts →</t>
  </si>
  <si>
    <t>Phase</t>
  </si>
  <si>
    <t>Task</t>
  </si>
  <si>
    <t>Start day</t>
  </si>
  <si>
    <t>Duration (days)</t>
  </si>
  <si>
    <t>End day</t>
  </si>
  <si>
    <t>Owner (assumed)</t>
  </si>
  <si>
    <t>WAF</t>
  </si>
  <si>
    <t>Total</t>
  </si>
  <si>
    <t>MFA</t>
  </si>
  <si>
    <t>1 Immediate (days 1-30)</t>
  </si>
  <si>
    <t>Risk acceptance briefing and funding approval (CISO / CFO)</t>
  </si>
  <si>
    <t>CISO / CFO</t>
  </si>
  <si>
    <t>API Gateway + WAF</t>
  </si>
  <si>
    <t>Emergency mitigations: session timeout &amp; token rotation, API auth hotfix review, input validation rules</t>
  </si>
  <si>
    <t>App Sec / DevOps</t>
  </si>
  <si>
    <t>WAF procurement, deployment and tuning (virtual patch for database injection)</t>
  </si>
  <si>
    <t>Infrastructure / SecOps</t>
  </si>
  <si>
    <t>Enhanced API and session monitoring and alerting (shorten 48-hour detection)</t>
  </si>
  <si>
    <t>SOC</t>
  </si>
  <si>
    <t>API Gateway + MFA</t>
  </si>
  <si>
    <t>2 Short-term (days 31-90)</t>
  </si>
  <si>
    <t>MFA enhancement: design, procurement and pilot</t>
  </si>
  <si>
    <t>IAM team</t>
  </si>
  <si>
    <t>MFA enhancement: full rollout to all customers</t>
  </si>
  <si>
    <t>IAM / Mobile team</t>
  </si>
  <si>
    <t>API Security Gateway: procurement and integration</t>
  </si>
  <si>
    <t>Platform / App Sec</t>
  </si>
  <si>
    <t>API Security Gateway: cut-over and acceptance testing</t>
  </si>
  <si>
    <t>WAF + MFA</t>
  </si>
  <si>
    <t>Platform / QA</t>
  </si>
  <si>
    <t>Penetration re-test of the three critical findings</t>
  </si>
  <si>
    <t>Red team / third party</t>
  </si>
  <si>
    <t>3 Long-term (days 91-365)</t>
  </si>
  <si>
    <t>Root-cause remediation in code (parameterised queries, session management, API auth design)</t>
  </si>
  <si>
    <t>Engineering</t>
  </si>
  <si>
    <t>Control effectiveness review and ALE re-assessment</t>
  </si>
  <si>
    <t>GRC</t>
  </si>
  <si>
    <t>API Gateway + WAF + MFA</t>
  </si>
  <si>
    <t>Continuous monitoring, quarterly testing and risk register updates</t>
  </si>
  <si>
    <t>GRC / SOC</t>
  </si>
  <si>
    <t>Annual re-test and board report on residual risk</t>
  </si>
  <si>
    <t>CISO / GRC</t>
  </si>
  <si>
    <t>Legend: red = Immediate actions (first 30 days);  orange = Short-term controls (to day 90);  blue = Long-term strategy (to day 365).</t>
  </si>
  <si>
    <t>Go-live logic: WAF is live when task 3 ends (day 30); MFA when task 6 ends and API Gateway when task 8 ends (day 90). These feed Inputs!F24:F26 and the Timeline sheet.</t>
  </si>
  <si>
    <t>Budget scenarios (capital budget is an assumption – edit the yellow cells)</t>
  </si>
  <si>
    <t>Scenario</t>
  </si>
  <si>
    <t>Capital budget ($)</t>
  </si>
  <si>
    <t>Best feasible annual risk reduction ($)</t>
  </si>
  <si>
    <t>Recommended combination</t>
  </si>
  <si>
    <t>Capital used ($)</t>
  </si>
  <si>
    <t>Risk reduced (% of baseline ALE)</t>
  </si>
  <si>
    <t>Budget 1</t>
  </si>
  <si>
    <t>Budget 2</t>
  </si>
  <si>
    <t>Sensitivity – how wrong can the assumptions be before a control stops paying back?</t>
  </si>
  <si>
    <t>Break-even ALE = Year-1 cost ÷ effectiveness. Below that baseline ALE, the control's Year-1 benefit is smaller than its Year-1 cost.</t>
  </si>
  <si>
    <t>Year-1 cost ($)</t>
  </si>
  <si>
    <t>Budget 3</t>
  </si>
  <si>
    <t>Effectiveness</t>
  </si>
  <si>
    <t>Break-even baseline ALE ($/yr)</t>
  </si>
  <si>
    <t>Modelled baseline ALE ($/yr)</t>
  </si>
  <si>
    <t>Headroom (x)</t>
  </si>
  <si>
    <t>Break-even as % of modelled ALE</t>
  </si>
  <si>
    <t>Budget 4</t>
  </si>
  <si>
    <t>Reading: at the smallest budget the WAF alone captures most of the reduction; each extra control adds a smaller benefit. Budget refers to initial capital cost only (assumption A-14).</t>
  </si>
  <si>
    <t>Table 2 – WAF Year-1 ROI if the database breach is smaller and/or less likely than modelled</t>
  </si>
  <si>
    <t>Share of 500k records breached ↓ / F2 probability →</t>
  </si>
  <si>
    <t>Month 12 summary</t>
  </si>
  <si>
    <t>Year-1 expected loss with NO controls</t>
  </si>
  <si>
    <t>Year-1 expected loss WITH phased controls</t>
  </si>
  <si>
    <t>Year-1 loss avoided (phased roll-out)</t>
  </si>
  <si>
    <t>Year-1 control spend (initial + maintenance after go-live)</t>
  </si>
  <si>
    <t>Year-1 net benefit after control spend</t>
  </si>
  <si>
    <t>Steady-state annual risk reduction (Control_Analysis, once all controls are live)</t>
  </si>
  <si>
    <t>Why Year-1 avoided loss (row 22) is lower than steady-state reduction (row 25): controls only go live on days 30 and 90, so part of Year 1 is unprotected.</t>
  </si>
  <si>
    <t>Chart data (linked – do not type over)</t>
  </si>
  <si>
    <t>ALE before controls ($)</t>
  </si>
  <si>
    <t>ALE after controls ($)</t>
  </si>
  <si>
    <t>Table 3 – API Gateway Year-1 ROI if the loss per event and/or probability are lower than modelled (the marginal control)</t>
  </si>
  <si>
    <t>Loss per event ($) ↓ / F1 probability →</t>
  </si>
  <si>
    <t>Initial investment ($)</t>
  </si>
  <si>
    <t>Maintenance over horizon ($)</t>
  </si>
  <si>
    <t>Effectiveness (%)</t>
  </si>
  <si>
    <t>3-year ROI (%)</t>
  </si>
  <si>
    <t>Payback (months)</t>
  </si>
  <si>
    <t>Control (short label)</t>
  </si>
  <si>
    <t>Red / bracketed values = negative Year-1 ROI. The WAF stays positive in every cell of Table 2; the API Gateway turns negative when its ALE falls below about $444k, so it is the control most sensitive to the assumptions.</t>
  </si>
  <si>
    <t>Column K = column G × 100, so the log-scale ROI charts plot every bar above 1.</t>
  </si>
  <si>
    <t>Gantt chart data (stacked bar = invisible start offset + duration coloured by phase)</t>
  </si>
  <si>
    <t>Task (short label)</t>
  </si>
  <si>
    <t>Start offset (start day − 1)</t>
  </si>
  <si>
    <t>Immediate actions (days 1-30)</t>
  </si>
  <si>
    <t>Short-term controls (to day 90)</t>
  </si>
  <si>
    <t>Long-term strategy (to day 365)</t>
  </si>
  <si>
    <t>1 Funding approval briefing</t>
  </si>
  <si>
    <t>2 Emergency mitigations</t>
  </si>
  <si>
    <t>3 WAF deploy and tune</t>
  </si>
  <si>
    <t>4 API / session monitoring</t>
  </si>
  <si>
    <t>5 MFA design and pilot</t>
  </si>
  <si>
    <t>6 MFA full rollout</t>
  </si>
  <si>
    <t>7 API Gateway integration</t>
  </si>
  <si>
    <t>8 API Gateway cut-over</t>
  </si>
  <si>
    <t>9 Penetration re-test</t>
  </si>
  <si>
    <t>10 Root-cause code fixes</t>
  </si>
  <si>
    <t>11 Control review, ALE re-assessment</t>
  </si>
  <si>
    <t>12 Continuous monitoring</t>
  </si>
  <si>
    <t>13 Annual re-test, board report</t>
  </si>
  <si>
    <t>Native Excel charts (linked to the calculation sheets – click a chart, then Chart Design → Select Data to see the cell ranges)</t>
  </si>
  <si>
    <t>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</si>
</sst>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0;\(#,##0\);\-"/>
    <numFmt numFmtId="165" formatCode="\$#,##0;&quot;($&quot;#,##0\);\-"/>
    <numFmt numFmtId="166" formatCode="0.0%;\(0.0%\);\-"/>
    <numFmt numFmtId="167" formatCode="#,##0.0%;[RED]\(#,##0.0%\);\-"/>
    <numFmt numFmtId="168" formatCode="0.000"/>
    <numFmt numFmtId="169" formatCode="0.0"/>
    <numFmt numFmtId="170" formatCode="0.0\x"/>
    <numFmt numFmtId="171" formatCode="0.0%"/>
    <numFmt numFmtId="172" formatCode="#,##0.0\%"/>
  </numFmts>
  <fonts count="13">
    <font>
      <sz val="11.0"/>
      <color theme="1"/>
      <name val="Calibri"/>
      <scheme val="minor"/>
    </font>
    <font>
      <b/>
      <sz val="14.0"/>
      <color rgb="FF1F3864"/>
      <name val="Arial"/>
    </font>
    <font>
      <i/>
      <sz val="10.0"/>
      <color rgb="FF595959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000000"/>
      <name val="Arial"/>
    </font>
    <font>
      <sz val="11.0"/>
      <color theme="1"/>
      <name val="Calibri"/>
    </font>
    <font>
      <sz val="10.0"/>
      <color rgb="FF0000FF"/>
      <name val="Arial"/>
    </font>
    <font>
      <sz val="10.0"/>
      <color rgb="FF008000"/>
      <name val="Arial"/>
    </font>
    <font>
      <b/>
      <sz val="10.0"/>
      <color rgb="FF008000"/>
      <name val="Arial"/>
    </font>
    <font>
      <b/>
      <sz val="12.0"/>
      <color rgb="FF000000"/>
      <name val="Arial"/>
    </font>
    <font>
      <b/>
      <sz val="12.0"/>
      <color rgb="FF008000"/>
      <name val="Arial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center" wrapText="1"/>
    </xf>
    <xf borderId="2" fillId="3" fontId="6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7" numFmtId="164" xfId="0" applyAlignment="1" applyBorder="1" applyFont="1" applyNumberForma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  <xf borderId="1" fillId="0" fontId="7" numFmtId="165" xfId="0" applyAlignment="1" applyBorder="1" applyFont="1" applyNumberFormat="1">
      <alignment shrinkToFit="0" vertical="bottom" wrapText="0"/>
    </xf>
    <xf borderId="1" fillId="0" fontId="5" numFmtId="165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7" numFmtId="166" xfId="0" applyAlignment="1" applyBorder="1" applyFont="1" applyNumberFormat="1">
      <alignment shrinkToFit="0" vertical="bottom" wrapText="0"/>
    </xf>
    <xf borderId="1" fillId="0" fontId="7" numFmtId="9" xfId="0" applyAlignment="1" applyBorder="1" applyFont="1" applyNumberFormat="1">
      <alignment shrinkToFit="0" vertical="bottom" wrapText="0"/>
    </xf>
    <xf borderId="1" fillId="4" fontId="7" numFmtId="0" xfId="0" applyAlignment="1" applyBorder="1" applyFill="1" applyFont="1">
      <alignment horizontal="center" shrinkToFit="0" vertical="center" wrapText="0"/>
    </xf>
    <xf borderId="1" fillId="4" fontId="8" numFmtId="164" xfId="0" applyAlignment="1" applyBorder="1" applyFill="1" applyFont="1" applyNumberFormat="1">
      <alignment horizontal="center" shrinkToFit="0" vertical="center" wrapText="0"/>
    </xf>
    <xf borderId="1" fillId="4" fontId="7" numFmtId="164" xfId="0" applyAlignment="1" applyBorder="1" applyFill="1" applyFont="1" applyNumberFormat="1">
      <alignment shrinkToFit="0" vertical="bottom" wrapText="0"/>
    </xf>
    <xf borderId="1" fillId="4" fontId="7" numFmtId="9" xfId="0" applyAlignment="1" applyBorder="1" applyFill="1" applyFont="1" applyNumberFormat="1">
      <alignment shrinkToFit="0" vertical="bottom" wrapText="0"/>
    </xf>
    <xf borderId="1" fillId="4" fontId="7" numFmtId="165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0" fontId="8" numFmtId="165" xfId="0" applyAlignment="1" applyBorder="1" applyFont="1" applyNumberFormat="1">
      <alignment shrinkToFit="0" vertical="bottom" wrapText="0"/>
    </xf>
    <xf borderId="1" fillId="0" fontId="8" numFmtId="164" xfId="0" applyAlignment="1" applyBorder="1" applyFont="1" applyNumberFormat="1">
      <alignment shrinkToFit="0" vertical="bottom" wrapText="0"/>
    </xf>
    <xf borderId="1" fillId="0" fontId="8" numFmtId="166" xfId="0" applyAlignment="1" applyBorder="1" applyFont="1" applyNumberFormat="1">
      <alignment shrinkToFit="0" vertical="bottom" wrapText="0"/>
    </xf>
    <xf borderId="1" fillId="0" fontId="9" numFmtId="165" xfId="0" applyAlignment="1" applyBorder="1" applyFont="1" applyNumberFormat="1">
      <alignment shrinkToFit="0" vertical="bottom" wrapText="0"/>
    </xf>
    <xf borderId="1" fillId="0" fontId="3" numFmtId="165" xfId="0" applyAlignment="1" applyBorder="1" applyFont="1" applyNumberFormat="1">
      <alignment shrinkToFit="0" vertical="bottom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5" numFmtId="166" xfId="0" applyAlignment="1" applyBorder="1" applyFont="1" applyNumberFormat="1">
      <alignment shrinkToFit="0" vertical="bottom" wrapText="0"/>
    </xf>
    <xf borderId="1" fillId="0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5" fontId="3" numFmtId="165" xfId="0" applyAlignment="1" applyBorder="1" applyFill="1" applyFont="1" applyNumberFormat="1">
      <alignment shrinkToFit="0" vertical="bottom" wrapText="0"/>
    </xf>
    <xf borderId="1" fillId="5" fontId="3" numFmtId="166" xfId="0" applyAlignment="1" applyBorder="1" applyFill="1" applyFont="1" applyNumberFormat="1">
      <alignment shrinkToFit="0" vertical="bottom" wrapText="0"/>
    </xf>
    <xf borderId="1" fillId="5" fontId="5" numFmtId="0" xfId="0" applyAlignment="1" applyBorder="1" applyFill="1" applyFont="1">
      <alignment shrinkToFit="0" vertical="center" wrapText="1"/>
    </xf>
    <xf borderId="1" fillId="0" fontId="8" numFmtId="9" xfId="0" applyAlignment="1" applyBorder="1" applyFont="1" applyNumberFormat="1">
      <alignment shrinkToFit="0" vertical="bottom" wrapText="0"/>
    </xf>
    <xf borderId="1" fillId="5" fontId="3" numFmtId="9" xfId="0" applyAlignment="1" applyBorder="1" applyFill="1" applyFont="1" applyNumberFormat="1">
      <alignment shrinkToFit="0" vertical="bottom" wrapText="0"/>
    </xf>
    <xf borderId="1" fillId="0" fontId="3" numFmtId="0" xfId="0" applyAlignment="1" applyBorder="1" applyFont="1">
      <alignment shrinkToFit="0" vertical="center" wrapText="1"/>
    </xf>
    <xf borderId="1" fillId="6" fontId="10" numFmtId="0" xfId="0" applyAlignment="1" applyBorder="1" applyFill="1" applyFont="1">
      <alignment horizontal="center" shrinkToFit="0" vertical="center" wrapText="0"/>
    </xf>
    <xf borderId="1" fillId="7" fontId="10" numFmtId="0" xfId="0" applyAlignment="1" applyBorder="1" applyFill="1" applyFont="1">
      <alignment horizontal="center" shrinkToFit="0" vertical="center" wrapText="0"/>
    </xf>
    <xf borderId="1" fillId="8" fontId="10" numFmtId="0" xfId="0" applyAlignment="1" applyBorder="1" applyFill="1" applyFont="1">
      <alignment horizontal="center" shrinkToFit="0" vertical="center" wrapText="0"/>
    </xf>
    <xf borderId="1" fillId="0" fontId="3" numFmtId="167" xfId="0" applyAlignment="1" applyBorder="1" applyFont="1" applyNumberFormat="1">
      <alignment shrinkToFit="0" vertical="bottom" wrapText="0"/>
    </xf>
    <xf borderId="1" fillId="5" fontId="3" numFmtId="167" xfId="0" applyAlignment="1" applyBorder="1" applyFill="1" applyFont="1" applyNumberFormat="1">
      <alignment shrinkToFit="0" vertical="bottom" wrapText="0"/>
    </xf>
    <xf borderId="1" fillId="0" fontId="3" numFmtId="168" xfId="0" applyAlignment="1" applyBorder="1" applyFont="1" applyNumberFormat="1">
      <alignment shrinkToFit="0" vertical="bottom" wrapText="0"/>
    </xf>
    <xf borderId="1" fillId="5" fontId="3" numFmtId="168" xfId="0" applyAlignment="1" applyBorder="1" applyFill="1" applyFont="1" applyNumberFormat="1">
      <alignment shrinkToFit="0" vertical="bottom" wrapText="0"/>
    </xf>
    <xf borderId="1" fillId="0" fontId="5" numFmtId="169" xfId="0" applyAlignment="1" applyBorder="1" applyFont="1" applyNumberFormat="1">
      <alignment shrinkToFit="0" vertical="bottom" wrapText="0"/>
    </xf>
    <xf borderId="1" fillId="5" fontId="3" numFmtId="169" xfId="0" applyAlignment="1" applyBorder="1" applyFill="1" applyFont="1" applyNumberFormat="1">
      <alignment shrinkToFit="0" vertical="bottom" wrapText="0"/>
    </xf>
    <xf borderId="1" fillId="0" fontId="8" numFmtId="164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1" fillId="0" fontId="11" numFmtId="165" xfId="0" applyAlignment="1" applyBorder="1" applyFont="1" applyNumberFormat="1">
      <alignment horizontal="center" shrinkToFit="0" vertical="center" wrapText="0"/>
    </xf>
    <xf borderId="1" fillId="0" fontId="11" numFmtId="166" xfId="0" applyAlignment="1" applyBorder="1" applyFont="1" applyNumberFormat="1">
      <alignment horizontal="center" shrinkToFit="0" vertical="center" wrapText="0"/>
    </xf>
    <xf borderId="1" fillId="0" fontId="11" numFmtId="167" xfId="0" applyAlignment="1" applyBorder="1" applyFont="1" applyNumberFormat="1">
      <alignment horizontal="center" shrinkToFit="0" vertical="center" wrapText="0"/>
    </xf>
    <xf borderId="1" fillId="0" fontId="11" numFmtId="169" xfId="0" applyAlignment="1" applyBorder="1" applyFont="1" applyNumberFormat="1">
      <alignment horizontal="center" shrinkToFit="0" vertical="center" wrapText="0"/>
    </xf>
    <xf borderId="1" fillId="0" fontId="9" numFmtId="0" xfId="0" applyAlignment="1" applyBorder="1" applyFont="1">
      <alignment horizontal="center" shrinkToFit="0" vertical="center" wrapText="0"/>
    </xf>
    <xf borderId="1" fillId="0" fontId="8" numFmtId="167" xfId="0" applyAlignment="1" applyBorder="1" applyFont="1" applyNumberFormat="1">
      <alignment shrinkToFit="0" vertical="bottom" wrapText="0"/>
    </xf>
    <xf borderId="1" fillId="0" fontId="8" numFmtId="169" xfId="0" applyAlignment="1" applyBorder="1" applyFont="1" applyNumberFormat="1">
      <alignment shrinkToFit="0" vertical="bottom" wrapText="0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5" numFmtId="167" xfId="0" applyAlignment="1" applyBorder="1" applyFont="1" applyNumberFormat="1">
      <alignment shrinkToFit="0" vertical="bottom" wrapText="0"/>
    </xf>
    <xf borderId="1" fillId="2" fontId="4" numFmtId="164" xfId="0" applyAlignment="1" applyBorder="1" applyFill="1" applyFont="1" applyNumberFormat="1">
      <alignment horizontal="center" shrinkToFit="0" textRotation="90" vertical="center" wrapText="0"/>
    </xf>
    <xf borderId="1" fillId="0" fontId="9" numFmtId="167" xfId="0" applyAlignment="1" applyBorder="1" applyFont="1" applyNumberFormat="1">
      <alignment shrinkToFit="0" vertical="bottom" wrapText="0"/>
    </xf>
    <xf borderId="1" fillId="0" fontId="9" numFmtId="169" xfId="0" applyAlignment="1" applyBorder="1" applyFont="1" applyNumberFormat="1">
      <alignment shrinkToFit="0" vertical="bottom" wrapText="0"/>
    </xf>
    <xf borderId="1" fillId="4" fontId="7" numFmtId="164" xfId="0" applyAlignment="1" applyBorder="1" applyFill="1" applyFont="1" applyNumberFormat="1">
      <alignment horizontal="center" shrinkToFit="0" vertical="center" wrapText="0"/>
    </xf>
    <xf borderId="1" fillId="0" fontId="6" numFmtId="0" xfId="0" applyAlignment="1" applyBorder="1" applyFont="1">
      <alignment shrinkToFit="0" vertical="bottom" wrapText="0"/>
    </xf>
    <xf borderId="1" fillId="0" fontId="5" numFmtId="170" xfId="0" applyAlignment="1" applyBorder="1" applyFont="1" applyNumberFormat="1">
      <alignment shrinkToFit="0" vertical="bottom" wrapText="0"/>
    </xf>
    <xf borderId="1" fillId="0" fontId="5" numFmtId="171" xfId="0" applyAlignment="1" applyBorder="1" applyFont="1" applyNumberFormat="1">
      <alignment shrinkToFit="0" vertical="bottom" wrapText="0"/>
    </xf>
    <xf borderId="1" fillId="4" fontId="7" numFmtId="9" xfId="0" applyAlignment="1" applyBorder="1" applyFill="1" applyFont="1" applyNumberFormat="1">
      <alignment horizontal="center" shrinkToFit="0" vertical="center" wrapText="0"/>
    </xf>
    <xf borderId="1" fillId="4" fontId="7" numFmtId="165" xfId="0" applyAlignment="1" applyBorder="1" applyFill="1" applyFont="1" applyNumberFormat="1">
      <alignment horizontal="center" shrinkToFit="0" vertical="center" wrapText="0"/>
    </xf>
    <xf borderId="1" fillId="0" fontId="5" numFmtId="172" xfId="0" applyAlignment="1" applyBorder="1" applyFont="1" applyNumberFormat="1">
      <alignment shrinkToFit="0" vertical="bottom" wrapText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C00000"/>
          <bgColor rgb="FFC00000"/>
        </patternFill>
      </fill>
      <border/>
    </dxf>
    <dxf>
      <font/>
      <fill>
        <patternFill patternType="solid">
          <fgColor rgb="FFED7D31"/>
          <bgColor rgb="FFED7D31"/>
        </patternFill>
      </fill>
      <border/>
    </dxf>
    <dxf>
      <font/>
      <fill>
        <patternFill patternType="solid">
          <fgColor rgb="FF2F5597"/>
          <bgColor rgb="FF2F559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Exposure Before vs After Controls (ALE)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ALE before controls ($)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Chart_Data!$A$5:$A$7</c:f>
            </c:strRef>
          </c:cat>
          <c:val>
            <c:numRef>
              <c:f>Chart_Data!$B$5:$B$7</c:f>
              <c:numCache/>
            </c:numRef>
          </c:val>
        </c:ser>
        <c:ser>
          <c:idx val="1"/>
          <c:order val="1"/>
          <c:tx>
            <c:v>ALE after controls ($)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Chart_Data!$A$5:$A$7</c:f>
            </c:strRef>
          </c:cat>
          <c:val>
            <c:numRef>
              <c:f>Chart_Data!$C$5:$C$7</c:f>
              <c:numCache/>
            </c:numRef>
          </c:val>
        </c:ser>
        <c:axId val="650608400"/>
        <c:axId val="1236371360"/>
      </c:barChart>
      <c:catAx>
        <c:axId val="6506084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6371360"/>
      </c:catAx>
      <c:valAx>
        <c:axId val="1236371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ALE (USD per year)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060840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Control Investment Breakdown (USD)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Initial investment ($)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Chart_Data!$J$12:$J$14</c:f>
            </c:strRef>
          </c:cat>
          <c:val>
            <c:numRef>
              <c:f>Chart_Data!$B$12:$B$14</c:f>
              <c:numCache/>
            </c:numRef>
          </c:val>
        </c:ser>
        <c:ser>
          <c:idx val="1"/>
          <c:order val="1"/>
          <c:tx>
            <c:v>Maintenance over horizon ($)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Chart_Data!$J$12:$J$14</c:f>
            </c:strRef>
          </c:cat>
          <c:val>
            <c:numRef>
              <c:f>Chart_Data!$C$12:$C$14</c:f>
              <c:numCache/>
            </c:numRef>
          </c:val>
        </c:ser>
        <c:overlap val="100"/>
        <c:axId val="1499102739"/>
        <c:axId val="968692932"/>
      </c:barChart>
      <c:catAx>
        <c:axId val="14991027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68692932"/>
      </c:catAx>
      <c:valAx>
        <c:axId val="9686929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Cost (USD)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99102739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ROI Comparison – Year-1 ROI (log scale)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Year-1 ROI (%)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Chart_Data!$J$12:$J$14</c:f>
            </c:strRef>
          </c:cat>
          <c:val>
            <c:numRef>
              <c:f>Chart_Data!$K$12:$K$14</c:f>
              <c:numCache/>
            </c:numRef>
          </c:val>
        </c:ser>
        <c:axId val="28635420"/>
        <c:axId val="166545497"/>
      </c:barChart>
      <c:catAx>
        <c:axId val="286354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6545497"/>
      </c:catAx>
      <c:valAx>
        <c:axId val="166545497"/>
        <c:scaling>
          <c:orientation val="minMax"/>
          <c:min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Year-1 ROI (%)</a:t>
                </a:r>
              </a:p>
            </c:rich>
          </c:tx>
          <c:overlay val="0"/>
        </c:title>
        <c:numFmt formatCode="#,##0\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8635420"/>
        <c:crosses val="max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Treatment Plan – Gantt Chart (days from approval)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Start offset (start day − 1)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Chart_Data!$B$21:$B$33</c:f>
              <c:numCache/>
            </c:numRef>
          </c:val>
        </c:ser>
        <c:ser>
          <c:idx val="1"/>
          <c:order val="1"/>
          <c:tx>
            <c:v>Immediate actions (days 1-30)</c:v>
          </c:tx>
          <c:spPr>
            <a:solidFill>
              <a:srgbClr val="C00000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Chart_Data!$C$21:$C$33</c:f>
              <c:numCache/>
            </c:numRef>
          </c:val>
        </c:ser>
        <c:ser>
          <c:idx val="2"/>
          <c:order val="2"/>
          <c:tx>
            <c:v>Short-term controls (to day 90)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Chart_Data!$D$21:$D$33</c:f>
              <c:numCache/>
            </c:numRef>
          </c:val>
        </c:ser>
        <c:ser>
          <c:idx val="3"/>
          <c:order val="3"/>
          <c:tx>
            <c:v>Long-term strategy (to day 365)</c:v>
          </c:tx>
          <c:spPr>
            <a:solidFill>
              <a:srgbClr val="2F5597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Chart_Data!$E$21:$E$33</c:f>
              <c:numCache/>
            </c:numRef>
          </c:val>
        </c:ser>
        <c:overlap val="100"/>
        <c:axId val="432824314"/>
        <c:axId val="1215671887"/>
      </c:barChart>
      <c:catAx>
        <c:axId val="4328243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15671887"/>
      </c:catAx>
      <c:valAx>
        <c:axId val="1215671887"/>
        <c:scaling>
          <c:orientation val="minMax"/>
          <c:max val="39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Days from approval (day 0 = approval)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2824314"/>
        <c:crosses val="max"/>
        <c:majorUnit val="30.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Annualised Loss Expectancy (ALE) by Vulnerability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ALE before controls ($)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Chart_Data!$A$5:$A$7</c:f>
            </c:strRef>
          </c:cat>
          <c:val>
            <c:numRef>
              <c:f>Chart_Data!$B$5:$B$7</c:f>
              <c:numCache/>
            </c:numRef>
          </c:val>
        </c:ser>
        <c:axId val="1009672616"/>
        <c:axId val="2047808111"/>
      </c:barChart>
      <c:catAx>
        <c:axId val="1009672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47808111"/>
      </c:catAx>
      <c:valAx>
        <c:axId val="2047808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ALE (USD per year)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0967261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Distribution – Share of Total ALE (%)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Chart_Data!$D$4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Chart_Data!$A$5:$A$7</c:f>
            </c:strRef>
          </c:cat>
          <c:val>
            <c:numRef>
              <c:f>Chart_Data!$D$5:$D$7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Control Cost vs Effectiveness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Advanced API Security Gateway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Chart_Data!$D$12</c:f>
            </c:numRef>
          </c:xVal>
          <c:yVal>
            <c:numRef>
              <c:f>Chart_Data!$E$12</c:f>
              <c:numCache/>
            </c:numRef>
          </c:yVal>
        </c:ser>
        <c:ser>
          <c:idx val="1"/>
          <c:order val="1"/>
          <c:tx>
            <c:v>Web Application Firewall (WAF)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Chart_Data!$D$13</c:f>
            </c:numRef>
          </c:xVal>
          <c:yVal>
            <c:numRef>
              <c:f>Chart_Data!$E$13</c:f>
              <c:numCache/>
            </c:numRef>
          </c:yVal>
        </c:ser>
        <c:ser>
          <c:idx val="2"/>
          <c:order val="2"/>
          <c:tx>
            <c:v>Multi-Factor Authentication Enhancement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Chart_Data!$D$14</c:f>
            </c:numRef>
          </c:xVal>
          <c:yVal>
            <c:numRef>
              <c:f>Chart_Data!$E$14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0388315"/>
        <c:axId val="394431291"/>
      </c:scatterChart>
      <c:valAx>
        <c:axId val="13503883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Year-1 cost, initial + maintenance (USD)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4431291"/>
      </c:valAx>
      <c:valAx>
        <c:axId val="394431291"/>
        <c:scaling>
          <c:orientation val="minMax"/>
          <c:max val="1.0"/>
          <c:min val="0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Effectiveness (% risk reduction)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5038831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Year-1 ROI by Control (log scale)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Year-1 ROI (%)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Chart_Data!$J$12:$J$14</c:f>
            </c:strRef>
          </c:cat>
          <c:val>
            <c:numRef>
              <c:f>Chart_Data!$K$12:$K$14</c:f>
              <c:numCache/>
            </c:numRef>
          </c:val>
        </c:ser>
        <c:axId val="1056547180"/>
        <c:axId val="1780578391"/>
      </c:barChart>
      <c:catAx>
        <c:axId val="1056547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80578391"/>
      </c:catAx>
      <c:valAx>
        <c:axId val="1780578391"/>
        <c:scaling>
          <c:orientation val="minMax"/>
          <c:min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Year-1 ROI (%) – logarithmic axis</a:t>
                </a:r>
              </a:p>
            </c:rich>
          </c:tx>
          <c:overlay val="0"/>
        </c:title>
        <c:numFmt formatCode="#,##0\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56547180"/>
        <c:crosses val="max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Reduction Over Time – Cumulative Expected Loss, Months 0-12</a:t>
            </a:r>
          </a:p>
        </c:rich>
      </c:tx>
      <c:overlay val="0"/>
    </c:title>
    <c:plotArea>
      <c:layout/>
      <c:lineChart>
        <c:ser>
          <c:idx val="0"/>
          <c:order val="0"/>
          <c:tx>
            <c:v>Cumulative loss – no controls ($)</c:v>
          </c:tx>
          <c:spPr>
            <a:ln cmpd="sng" w="1905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Timeline!$A$5:$A$17</c:f>
            </c:strRef>
          </c:cat>
          <c:val>
            <c:numRef>
              <c:f>Timeline!$J$5:$J$17</c:f>
              <c:numCache/>
            </c:numRef>
          </c:val>
          <c:smooth val="1"/>
        </c:ser>
        <c:ser>
          <c:idx val="1"/>
          <c:order val="1"/>
          <c:tx>
            <c:v>Cumulative loss – with controls ($)</c:v>
          </c:tx>
          <c:spPr>
            <a:ln cmpd="sng" w="1905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Timeline!$A$5:$A$17</c:f>
            </c:strRef>
          </c:cat>
          <c:val>
            <c:numRef>
              <c:f>Timeline!$K$5:$K$17</c:f>
              <c:numCache/>
            </c:numRef>
          </c:val>
          <c:smooth val="1"/>
        </c:ser>
        <c:axId val="993685863"/>
        <c:axId val="74328699"/>
      </c:lineChart>
      <c:catAx>
        <c:axId val="99368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 since approval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328699"/>
      </c:catAx>
      <c:valAx>
        <c:axId val="743286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expected loss (USD)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3685863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Control Investment Breakdown – Initial vs 3-Year Maintenance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Initial investment ($)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Chart_Data!$J$12:$J$14</c:f>
            </c:strRef>
          </c:cat>
          <c:val>
            <c:numRef>
              <c:f>Chart_Data!$B$12:$B$14</c:f>
              <c:numCache/>
            </c:numRef>
          </c:val>
        </c:ser>
        <c:ser>
          <c:idx val="1"/>
          <c:order val="1"/>
          <c:tx>
            <c:v>Maintenance over horizon ($)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Chart_Data!$J$12:$J$14</c:f>
            </c:strRef>
          </c:cat>
          <c:val>
            <c:numRef>
              <c:f>Chart_Data!$C$12:$C$14</c:f>
              <c:numCache/>
            </c:numRef>
          </c:val>
        </c:ser>
        <c:overlap val="100"/>
        <c:axId val="1281661585"/>
        <c:axId val="540056264"/>
      </c:barChart>
      <c:catAx>
        <c:axId val="12816615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Control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0056264"/>
      </c:catAx>
      <c:valAx>
        <c:axId val="540056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Cost (USD)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8166158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Exposure Before vs After Controls (ALE)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ALE before controls ($)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Chart_Data!$A$5:$A$7</c:f>
            </c:strRef>
          </c:cat>
          <c:val>
            <c:numRef>
              <c:f>Chart_Data!$B$5:$B$7</c:f>
              <c:numCache/>
            </c:numRef>
          </c:val>
        </c:ser>
        <c:ser>
          <c:idx val="1"/>
          <c:order val="1"/>
          <c:tx>
            <c:v>ALE after controls ($)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Chart_Data!$A$5:$A$7</c:f>
            </c:strRef>
          </c:cat>
          <c:val>
            <c:numRef>
              <c:f>Chart_Data!$C$5:$C$7</c:f>
              <c:numCache/>
            </c:numRef>
          </c:val>
        </c:ser>
        <c:axId val="1597452286"/>
        <c:axId val="1118980759"/>
      </c:barChart>
      <c:catAx>
        <c:axId val="1597452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Vulnerability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18980759"/>
      </c:catAx>
      <c:valAx>
        <c:axId val="1118980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ALE (USD per year)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745228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Risk Treatment Plan – Gantt Chart (days from approval)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Start offset (start day − 1)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Chart_Data!$B$21:$B$33</c:f>
              <c:numCache/>
            </c:numRef>
          </c:val>
        </c:ser>
        <c:ser>
          <c:idx val="1"/>
          <c:order val="1"/>
          <c:tx>
            <c:v>Immediate actions (days 1-30)</c:v>
          </c:tx>
          <c:spPr>
            <a:solidFill>
              <a:srgbClr val="C00000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Chart_Data!$C$21:$C$33</c:f>
              <c:numCache/>
            </c:numRef>
          </c:val>
        </c:ser>
        <c:ser>
          <c:idx val="2"/>
          <c:order val="2"/>
          <c:tx>
            <c:v>Short-term controls (to day 90)</c:v>
          </c:tx>
          <c:spPr>
            <a:solidFill>
              <a:srgbClr val="ED7D31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Chart_Data!$D$21:$D$33</c:f>
              <c:numCache/>
            </c:numRef>
          </c:val>
        </c:ser>
        <c:ser>
          <c:idx val="3"/>
          <c:order val="3"/>
          <c:tx>
            <c:v>Long-term strategy (to day 365)</c:v>
          </c:tx>
          <c:spPr>
            <a:solidFill>
              <a:srgbClr val="2F5597"/>
            </a:solidFill>
            <a:ln cmpd="sng">
              <a:noFill/>
            </a:ln>
          </c:spPr>
          <c:invertIfNegative val="0"/>
          <c:cat>
            <c:strRef>
              <c:f>Chart_Data!$A$21:$A$33</c:f>
            </c:strRef>
          </c:cat>
          <c:val>
            <c:numRef>
              <c:f>Chart_Data!$E$21:$E$33</c:f>
              <c:numCache/>
            </c:numRef>
          </c:val>
        </c:ser>
        <c:overlap val="100"/>
        <c:axId val="1897687539"/>
        <c:axId val="511838487"/>
      </c:barChart>
      <c:catAx>
        <c:axId val="189768753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11838487"/>
      </c:catAx>
      <c:valAx>
        <c:axId val="511838487"/>
        <c:scaling>
          <c:orientation val="minMax"/>
          <c:max val="390.0"/>
          <c:min val="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Days from approval (day 0 = approval)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97687539"/>
        <c:crosses val="max"/>
        <c:majorUnit val="30.0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Relationship Id="rId5" Type="http://schemas.openxmlformats.org/officeDocument/2006/relationships/chart" Target="../charts/chart9.xml"/><Relationship Id="rId6" Type="http://schemas.openxmlformats.org/officeDocument/2006/relationships/chart" Target="../charts/chart10.xml"/><Relationship Id="rId7" Type="http://schemas.openxmlformats.org/officeDocument/2006/relationships/chart" Target="../charts/chart11.xml"/><Relationship Id="rId8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152400</xdr:rowOff>
    </xdr:from>
    <xdr:ext cx="5153025" cy="3209925"/>
    <xdr:graphicFrame>
      <xdr:nvGraphicFramePr>
        <xdr:cNvPr id="58191540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152400</xdr:rowOff>
    </xdr:from>
    <xdr:ext cx="5153025" cy="3209925"/>
    <xdr:graphicFrame>
      <xdr:nvGraphicFramePr>
        <xdr:cNvPr id="40051493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152400</xdr:rowOff>
    </xdr:from>
    <xdr:ext cx="5153025" cy="3209925"/>
    <xdr:graphicFrame>
      <xdr:nvGraphicFramePr>
        <xdr:cNvPr id="209637616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20</xdr:row>
      <xdr:rowOff>152400</xdr:rowOff>
    </xdr:from>
    <xdr:ext cx="8896350" cy="4162425"/>
    <xdr:graphicFrame>
      <xdr:nvGraphicFramePr>
        <xdr:cNvPr id="2901065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152400</xdr:rowOff>
    </xdr:from>
    <xdr:ext cx="5810250" cy="3400425"/>
    <xdr:graphicFrame>
      <xdr:nvGraphicFramePr>
        <xdr:cNvPr id="1567623069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1</xdr:row>
      <xdr:rowOff>152400</xdr:rowOff>
    </xdr:from>
    <xdr:ext cx="5810250" cy="3400425"/>
    <xdr:graphicFrame>
      <xdr:nvGraphicFramePr>
        <xdr:cNvPr id="170183539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152400</xdr:rowOff>
    </xdr:from>
    <xdr:ext cx="5810250" cy="3400425"/>
    <xdr:graphicFrame>
      <xdr:nvGraphicFramePr>
        <xdr:cNvPr id="1655182282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0</xdr:colOff>
      <xdr:row>20</xdr:row>
      <xdr:rowOff>152400</xdr:rowOff>
    </xdr:from>
    <xdr:ext cx="5810250" cy="3400425"/>
    <xdr:graphicFrame>
      <xdr:nvGraphicFramePr>
        <xdr:cNvPr id="190573937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39</xdr:row>
      <xdr:rowOff>152400</xdr:rowOff>
    </xdr:from>
    <xdr:ext cx="5810250" cy="3400425"/>
    <xdr:graphicFrame>
      <xdr:nvGraphicFramePr>
        <xdr:cNvPr id="1298470997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0</xdr:colOff>
      <xdr:row>39</xdr:row>
      <xdr:rowOff>152400</xdr:rowOff>
    </xdr:from>
    <xdr:ext cx="5810250" cy="3400425"/>
    <xdr:graphicFrame>
      <xdr:nvGraphicFramePr>
        <xdr:cNvPr id="90458949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58</xdr:row>
      <xdr:rowOff>152400</xdr:rowOff>
    </xdr:from>
    <xdr:ext cx="5810250" cy="3400425"/>
    <xdr:graphicFrame>
      <xdr:nvGraphicFramePr>
        <xdr:cNvPr id="645006303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11</xdr:col>
      <xdr:colOff>0</xdr:colOff>
      <xdr:row>58</xdr:row>
      <xdr:rowOff>152400</xdr:rowOff>
    </xdr:from>
    <xdr:ext cx="8896350" cy="4162425"/>
    <xdr:graphicFrame>
      <xdr:nvGraphicFramePr>
        <xdr:cNvPr id="74619984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95.0"/>
    <col customWidth="1" min="3" max="26" width="8.71"/>
  </cols>
  <sheetData>
    <row r="1">
      <c r="A1" s="2" t="s">
        <v>1</v>
      </c>
    </row>
    <row r="4">
      <c r="A4" s="4" t="s">
        <v>4</v>
      </c>
      <c r="B4" s="6" t="s">
        <v>8</v>
      </c>
    </row>
    <row r="5">
      <c r="A5" s="4" t="s">
        <v>13</v>
      </c>
      <c r="B5" s="7" t="s">
        <v>17</v>
      </c>
    </row>
    <row r="6">
      <c r="A6" s="4" t="s">
        <v>19</v>
      </c>
      <c r="B6" s="6" t="s">
        <v>21</v>
      </c>
    </row>
    <row r="7">
      <c r="A7" s="4" t="s">
        <v>22</v>
      </c>
      <c r="B7" s="6" t="s">
        <v>23</v>
      </c>
    </row>
    <row r="9">
      <c r="A9" s="11" t="s">
        <v>27</v>
      </c>
    </row>
    <row r="10">
      <c r="A10" s="12" t="s">
        <v>34</v>
      </c>
      <c r="B10" s="6" t="s">
        <v>40</v>
      </c>
    </row>
    <row r="11">
      <c r="A11" s="14" t="s">
        <v>44</v>
      </c>
      <c r="B11" s="6" t="s">
        <v>50</v>
      </c>
    </row>
    <row r="12">
      <c r="A12" s="6" t="s">
        <v>54</v>
      </c>
      <c r="B12" s="6" t="s">
        <v>56</v>
      </c>
    </row>
    <row r="13">
      <c r="A13" s="15" t="s">
        <v>60</v>
      </c>
      <c r="B13" s="6" t="s">
        <v>64</v>
      </c>
    </row>
    <row r="15">
      <c r="A15" s="11" t="s">
        <v>67</v>
      </c>
    </row>
    <row r="16">
      <c r="A16" s="4" t="s">
        <v>70</v>
      </c>
      <c r="B16" s="6" t="s">
        <v>74</v>
      </c>
    </row>
    <row r="17">
      <c r="A17" s="4" t="s">
        <v>76</v>
      </c>
      <c r="B17" s="6" t="s">
        <v>79</v>
      </c>
    </row>
    <row r="18">
      <c r="A18" s="4" t="s">
        <v>81</v>
      </c>
      <c r="B18" s="6" t="s">
        <v>83</v>
      </c>
    </row>
    <row r="19">
      <c r="A19" s="4" t="s">
        <v>84</v>
      </c>
      <c r="B19" s="6" t="s">
        <v>85</v>
      </c>
    </row>
    <row r="20">
      <c r="A20" s="4" t="s">
        <v>86</v>
      </c>
      <c r="B20" s="6" t="s">
        <v>87</v>
      </c>
    </row>
    <row r="21" ht="15.75" customHeight="1">
      <c r="A21" s="4" t="s">
        <v>108</v>
      </c>
      <c r="B21" s="6" t="s">
        <v>109</v>
      </c>
    </row>
    <row r="22" ht="15.75" customHeight="1">
      <c r="A22" s="4" t="s">
        <v>110</v>
      </c>
      <c r="B22" s="6" t="s">
        <v>111</v>
      </c>
    </row>
    <row r="23" ht="15.75" customHeight="1">
      <c r="A23" s="4" t="s">
        <v>112</v>
      </c>
      <c r="B23" s="6" t="s">
        <v>113</v>
      </c>
    </row>
    <row r="24" ht="15.75" customHeight="1">
      <c r="A24" s="4" t="s">
        <v>114</v>
      </c>
      <c r="B24" s="6" t="s">
        <v>115</v>
      </c>
    </row>
    <row r="25" ht="15.75" customHeight="1">
      <c r="A25" s="4" t="s">
        <v>116</v>
      </c>
      <c r="B25" s="6" t="s">
        <v>117</v>
      </c>
    </row>
    <row r="26" ht="15.75" customHeight="1">
      <c r="A26" s="4" t="s">
        <v>118</v>
      </c>
      <c r="B26" s="6" t="s">
        <v>119</v>
      </c>
    </row>
    <row r="27" ht="15.75" customHeight="1">
      <c r="A27" s="4" t="s">
        <v>120</v>
      </c>
      <c r="B27" s="6" t="s">
        <v>121</v>
      </c>
    </row>
    <row r="28" ht="15.75" customHeight="1"/>
    <row r="29" ht="15.75" customHeight="1">
      <c r="A29" s="11" t="s">
        <v>122</v>
      </c>
    </row>
    <row r="30" ht="15.75" customHeight="1">
      <c r="A30" s="18" t="s">
        <v>123</v>
      </c>
    </row>
    <row r="31" ht="15.75" customHeight="1">
      <c r="A31" s="18" t="s">
        <v>129</v>
      </c>
    </row>
    <row r="32" ht="15.75" customHeight="1">
      <c r="A32" s="18" t="s">
        <v>130</v>
      </c>
    </row>
    <row r="33" ht="15.75" customHeight="1">
      <c r="A33" s="18" t="s">
        <v>131</v>
      </c>
    </row>
    <row r="34" ht="15.75" customHeight="1">
      <c r="A34" s="18" t="s">
        <v>132</v>
      </c>
    </row>
    <row r="35" ht="15.75" customHeight="1">
      <c r="A35" s="18" t="s">
        <v>134</v>
      </c>
    </row>
    <row r="36" ht="15.75" customHeight="1">
      <c r="A36" s="18" t="s">
        <v>136</v>
      </c>
    </row>
    <row r="37" ht="15.75" customHeight="1">
      <c r="A37" s="18" t="s">
        <v>138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42.0"/>
    <col customWidth="1" min="3" max="4" width="22.0"/>
    <col customWidth="1" min="5" max="5" width="24.0"/>
    <col customWidth="1" min="6" max="7" width="18.0"/>
    <col customWidth="1" min="8" max="8" width="20.0"/>
    <col customWidth="1" min="9" max="26" width="8.71"/>
  </cols>
  <sheetData>
    <row r="1">
      <c r="A1" s="2" t="s">
        <v>289</v>
      </c>
    </row>
    <row r="2">
      <c r="A2" s="54" t="str">
        <f>"Prepared by: "&amp;Cover!B4&amp;"   |   Registration no.: "&amp;Cover!B5&amp;"   |   Date: "&amp;Cover!B6&amp;"   |   For: CISO and CFO"</f>
        <v>Prepared by: Oluwatosin Olajubu   |   Registration no.: C11/26/CGRCE/217602   |   Date: 27 October 2026   |   For: CISO and CFO</v>
      </c>
    </row>
    <row r="4" ht="43.5" customHeight="1">
      <c r="A4" s="5" t="s">
        <v>292</v>
      </c>
      <c r="B4" s="5" t="s">
        <v>293</v>
      </c>
      <c r="C4" s="5" t="s">
        <v>294</v>
      </c>
      <c r="D4" s="5" t="s">
        <v>295</v>
      </c>
      <c r="E4" s="5" t="s">
        <v>296</v>
      </c>
      <c r="F4" s="5" t="s">
        <v>297</v>
      </c>
      <c r="G4" s="5" t="s">
        <v>298</v>
      </c>
    </row>
    <row r="5" ht="27.75" customHeight="1">
      <c r="A5" s="55">
        <f>Risk_Calc!I8</f>
        <v>35000000</v>
      </c>
      <c r="B5" s="55">
        <f>Control_Analysis!F9</f>
        <v>8037500</v>
      </c>
      <c r="C5" s="55">
        <f>Control_Analysis!F8</f>
        <v>26962500</v>
      </c>
      <c r="D5" s="56">
        <f>Control_Analysis!F7</f>
        <v>0.7703571429</v>
      </c>
      <c r="E5" s="55">
        <f>Control_Analysis!F10</f>
        <v>700000</v>
      </c>
      <c r="F5" s="57">
        <f>Control_Analysis!F14</f>
        <v>32.49378882</v>
      </c>
      <c r="G5" s="58">
        <f>Control_Analysis!F21</f>
        <v>9.513171367</v>
      </c>
    </row>
    <row r="7">
      <c r="A7" s="11" t="s">
        <v>301</v>
      </c>
    </row>
    <row r="8">
      <c r="A8" s="5" t="s">
        <v>302</v>
      </c>
      <c r="B8" s="5" t="s">
        <v>191</v>
      </c>
      <c r="C8" s="5" t="s">
        <v>199</v>
      </c>
      <c r="D8" s="5" t="s">
        <v>198</v>
      </c>
      <c r="E8" s="5" t="s">
        <v>202</v>
      </c>
      <c r="F8" s="5" t="s">
        <v>303</v>
      </c>
    </row>
    <row r="9">
      <c r="A9" s="35">
        <v>1.0</v>
      </c>
      <c r="B9" s="15" t="str">
        <f t="array" ref="B9">INDEX(Risk_Matrix!$B$5:$B$7,MATCH($A9,Risk_Matrix!$F$5:$F$7,0))</f>
        <v>F2 – Database Injection Vulnerability</v>
      </c>
      <c r="C9" s="28">
        <f t="array" ref="C9">INDEX(Risk_Matrix!$C$5:$C$7,MATCH($A9,Risk_Matrix!$F$5:$F$7,0))</f>
        <v>125000000</v>
      </c>
      <c r="D9" s="41">
        <f t="array" ref="D9">INDEX(Risk_Matrix!$D$5:$D$7,MATCH($A9,Risk_Matrix!$F$5:$F$7,0))</f>
        <v>0.25</v>
      </c>
      <c r="E9" s="31">
        <f t="array" ref="E9">INDEX(Risk_Matrix!$E$5:$E$7,MATCH($A9,Risk_Matrix!$F$5:$F$7,0))</f>
        <v>31250000</v>
      </c>
      <c r="F9" s="59" t="str">
        <f t="array" ref="F9">INDEX(Risk_Matrix!$M$5:$M$7,MATCH($A9,Risk_Matrix!$F$5:$F$7,0))</f>
        <v>Critical</v>
      </c>
    </row>
    <row r="10">
      <c r="A10" s="35">
        <v>2.0</v>
      </c>
      <c r="B10" s="15" t="str">
        <f t="array" ref="B10">INDEX(Risk_Matrix!$B$5:$B$7,MATCH($A10,Risk_Matrix!$F$5:$F$7,0))</f>
        <v>F3 – Session Hijacking</v>
      </c>
      <c r="C10" s="28">
        <f t="array" ref="C10">INDEX(Risk_Matrix!$C$5:$C$7,MATCH($A10,Risk_Matrix!$F$5:$F$7,0))</f>
        <v>7500000</v>
      </c>
      <c r="D10" s="41">
        <f t="array" ref="D10">INDEX(Risk_Matrix!$D$5:$D$7,MATCH($A10,Risk_Matrix!$F$5:$F$7,0))</f>
        <v>0.4</v>
      </c>
      <c r="E10" s="31">
        <f t="array" ref="E10">INDEX(Risk_Matrix!$E$5:$E$7,MATCH($A10,Risk_Matrix!$F$5:$F$7,0))</f>
        <v>3000000</v>
      </c>
      <c r="F10" s="59" t="str">
        <f t="array" ref="F10">INDEX(Risk_Matrix!$M$5:$M$7,MATCH($A10,Risk_Matrix!$F$5:$F$7,0))</f>
        <v>High</v>
      </c>
    </row>
    <row r="11">
      <c r="A11" s="35">
        <v>3.0</v>
      </c>
      <c r="B11" s="15" t="str">
        <f t="array" ref="B11">INDEX(Risk_Matrix!$B$5:$B$7,MATCH($A11,Risk_Matrix!$F$5:$F$7,0))</f>
        <v>F1 – API Authentication Bypass</v>
      </c>
      <c r="C11" s="28">
        <f t="array" ref="C11">INDEX(Risk_Matrix!$C$5:$C$7,MATCH($A11,Risk_Matrix!$F$5:$F$7,0))</f>
        <v>5000000</v>
      </c>
      <c r="D11" s="41">
        <f t="array" ref="D11">INDEX(Risk_Matrix!$D$5:$D$7,MATCH($A11,Risk_Matrix!$F$5:$F$7,0))</f>
        <v>0.15</v>
      </c>
      <c r="E11" s="31">
        <f t="array" ref="E11">INDEX(Risk_Matrix!$E$5:$E$7,MATCH($A11,Risk_Matrix!$F$5:$F$7,0))</f>
        <v>750000</v>
      </c>
      <c r="F11" s="59" t="str">
        <f t="array" ref="F11">INDEX(Risk_Matrix!$M$5:$M$7,MATCH($A11,Risk_Matrix!$F$5:$F$7,0))</f>
        <v>Medium</v>
      </c>
    </row>
    <row r="13">
      <c r="A13" s="11" t="s">
        <v>304</v>
      </c>
    </row>
    <row r="14" ht="31.5" customHeight="1">
      <c r="A14" s="5" t="s">
        <v>305</v>
      </c>
      <c r="B14" s="5" t="s">
        <v>154</v>
      </c>
      <c r="C14" s="5" t="s">
        <v>155</v>
      </c>
      <c r="D14" s="5" t="s">
        <v>157</v>
      </c>
      <c r="E14" s="5" t="s">
        <v>306</v>
      </c>
      <c r="F14" s="5" t="s">
        <v>307</v>
      </c>
      <c r="G14" s="5" t="s">
        <v>308</v>
      </c>
      <c r="H14" s="5" t="s">
        <v>309</v>
      </c>
    </row>
    <row r="15">
      <c r="A15" s="35">
        <v>1.0</v>
      </c>
      <c r="B15" s="15" t="str">
        <f t="array" ref="B15">INDEX(Control_Analysis!$C$4:$E$4,MATCH($A15,Control_Analysis!$C$22:$E$22,0))</f>
        <v>Web Application Firewall (WAF)</v>
      </c>
      <c r="C15" s="28">
        <f t="array" ref="C15">INDEX(Control_Analysis!$C$10:$E$10,MATCH($A15,Control_Analysis!$C$22:$E$22,0))</f>
        <v>150000</v>
      </c>
      <c r="D15" s="28">
        <f t="array" ref="D15">INDEX(Control_Analysis!$C$11:$E$11,MATCH($A15,Control_Analysis!$C$22:$E$22,0))</f>
        <v>25000</v>
      </c>
      <c r="E15" s="28">
        <f t="array" ref="E15">INDEX(Control_Analysis!$C$8:$E$8,MATCH($A15,Control_Analysis!$C$22:$E$22,0))</f>
        <v>23437500</v>
      </c>
      <c r="F15" s="60">
        <f t="array" ref="F15">INDEX(Control_Analysis!$C$14:$E$14,MATCH($A15,Control_Analysis!$C$22:$E$22,0))</f>
        <v>132.9285714</v>
      </c>
      <c r="G15" s="61">
        <f t="array" ref="G15">INDEX(Control_Analysis!$C$21:$E$21,MATCH($A15,Control_Analysis!$C$22:$E$22,0))</f>
        <v>2.338494394</v>
      </c>
      <c r="H15" s="59" t="str">
        <f t="array" ref="H15">INDEX(Control_Analysis!$C$23:$E$23,MATCH($A15,Control_Analysis!$C$22:$E$22,0))</f>
        <v>IMPLEMENT</v>
      </c>
    </row>
    <row r="16">
      <c r="A16" s="35">
        <v>2.0</v>
      </c>
      <c r="B16" s="15" t="str">
        <f t="array" ref="B16">INDEX(Control_Analysis!$C$4:$E$4,MATCH($A16,Control_Analysis!$C$22:$E$22,0))</f>
        <v>Multi-Factor Authentication Enhancement</v>
      </c>
      <c r="C16" s="28">
        <f t="array" ref="C16">INDEX(Control_Analysis!$C$10:$E$10,MATCH($A16,Control_Analysis!$C$22:$E$22,0))</f>
        <v>200000</v>
      </c>
      <c r="D16" s="28">
        <f t="array" ref="D16">INDEX(Control_Analysis!$C$11:$E$11,MATCH($A16,Control_Analysis!$C$22:$E$22,0))</f>
        <v>30000</v>
      </c>
      <c r="E16" s="28">
        <f t="array" ref="E16">INDEX(Control_Analysis!$C$8:$E$8,MATCH($A16,Control_Analysis!$C$22:$E$22,0))</f>
        <v>2850000</v>
      </c>
      <c r="F16" s="60">
        <f t="array" ref="F16">INDEX(Control_Analysis!$C$14:$E$14,MATCH($A16,Control_Analysis!$C$22:$E$22,0))</f>
        <v>11.39130435</v>
      </c>
      <c r="G16" s="61">
        <f t="array" ref="G16">INDEX(Control_Analysis!$C$21:$E$21,MATCH($A16,Control_Analysis!$C$22:$E$22,0))</f>
        <v>25.88652482</v>
      </c>
      <c r="H16" s="59" t="str">
        <f t="array" ref="H16">INDEX(Control_Analysis!$C$23:$E$23,MATCH($A16,Control_Analysis!$C$22:$E$22,0))</f>
        <v>IMPLEMENT</v>
      </c>
    </row>
    <row r="17">
      <c r="A17" s="35">
        <v>3.0</v>
      </c>
      <c r="B17" s="15" t="str">
        <f t="array" ref="B17">INDEX(Control_Analysis!$C$4:$E$4,MATCH($A17,Control_Analysis!$C$22:$E$22,0))</f>
        <v>Advanced API Security Gateway</v>
      </c>
      <c r="C17" s="28">
        <f t="array" ref="C17">INDEX(Control_Analysis!$C$10:$E$10,MATCH($A17,Control_Analysis!$C$22:$E$22,0))</f>
        <v>350000</v>
      </c>
      <c r="D17" s="28">
        <f t="array" ref="D17">INDEX(Control_Analysis!$C$11:$E$11,MATCH($A17,Control_Analysis!$C$22:$E$22,0))</f>
        <v>50000</v>
      </c>
      <c r="E17" s="28">
        <f t="array" ref="E17">INDEX(Control_Analysis!$C$8:$E$8,MATCH($A17,Control_Analysis!$C$22:$E$22,0))</f>
        <v>675000</v>
      </c>
      <c r="F17" s="60">
        <f t="array" ref="F17">INDEX(Control_Analysis!$C$14:$E$14,MATCH($A17,Control_Analysis!$C$22:$E$22,0))</f>
        <v>0.6875</v>
      </c>
      <c r="G17" s="61">
        <f t="array" ref="G17">INDEX(Control_Analysis!$C$21:$E$21,MATCH($A17,Control_Analysis!$C$22:$E$22,0))</f>
        <v>204.4</v>
      </c>
      <c r="H17" s="59" t="str">
        <f t="array" ref="H17">INDEX(Control_Analysis!$C$23:$E$23,MATCH($A17,Control_Analysis!$C$22:$E$22,0))</f>
        <v>IMPLEMENT</v>
      </c>
    </row>
    <row r="18">
      <c r="A18" s="4" t="s">
        <v>331</v>
      </c>
      <c r="B18" s="6"/>
      <c r="C18" s="32">
        <f t="shared" ref="C18:E18" si="1">SUM(C15:C17)</f>
        <v>700000</v>
      </c>
      <c r="D18" s="32">
        <f t="shared" si="1"/>
        <v>105000</v>
      </c>
      <c r="E18" s="32">
        <f t="shared" si="1"/>
        <v>26962500</v>
      </c>
      <c r="F18" s="65">
        <f>Control_Analysis!F14</f>
        <v>32.49378882</v>
      </c>
      <c r="G18" s="66">
        <f>Control_Analysis!F21</f>
        <v>9.513171367</v>
      </c>
      <c r="H18" s="6"/>
    </row>
    <row r="19">
      <c r="A19" s="54" t="str">
        <f>"Year-1 realised benefit with phased roll-out: $"&amp;TEXT(Timeline!D22,"#,##0")&amp;" loss avoided against $"&amp;TEXT(Timeline!D23,"#,##0")&amp;" control spend (net $"&amp;TEXT(Timeline!D24,"#,##0")&amp;")."</f>
        <v>Year-1 realised benefit with phased roll-out: $24,128,125 loss avoided against $782,917 control spend (net $23,345,208).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9:F11">
    <cfRule type="expression" dxfId="0" priority="1">
      <formula>F9="Critical"</formula>
    </cfRule>
  </conditionalFormatting>
  <conditionalFormatting sqref="F9:F11">
    <cfRule type="expression" dxfId="1" priority="2">
      <formula>F9="High"</formula>
    </cfRule>
  </conditionalFormatting>
  <conditionalFormatting sqref="F9:F11">
    <cfRule type="expression" dxfId="2" priority="3">
      <formula>F9="Medium"</formula>
    </cfRule>
  </conditionalFormatting>
  <conditionalFormatting sqref="F9:F11">
    <cfRule type="expression" dxfId="3" priority="4">
      <formula>F9="Low"</formula>
    </cfRule>
  </conditionalFormatting>
  <conditionalFormatting sqref="H15:H17">
    <cfRule type="expression" dxfId="3" priority="5">
      <formula>H15="IMPLEMENT"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6.0"/>
    <col customWidth="1" min="2" max="2" width="18.0"/>
    <col customWidth="1" min="3" max="4" width="22.0"/>
    <col customWidth="1" min="5" max="5" width="48.0"/>
    <col customWidth="1" min="6" max="6" width="26.0"/>
    <col customWidth="1" min="7" max="26" width="8.71"/>
  </cols>
  <sheetData>
    <row r="1">
      <c r="A1" s="1" t="s">
        <v>2</v>
      </c>
    </row>
    <row r="2">
      <c r="A2" s="3" t="s">
        <v>5</v>
      </c>
    </row>
    <row r="4">
      <c r="A4" s="5" t="s">
        <v>6</v>
      </c>
      <c r="B4" s="5" t="s">
        <v>10</v>
      </c>
      <c r="C4" s="5" t="s">
        <v>12</v>
      </c>
      <c r="D4" s="5" t="s">
        <v>15</v>
      </c>
      <c r="E4" s="5" t="s">
        <v>16</v>
      </c>
    </row>
    <row r="5">
      <c r="A5" s="8" t="s">
        <v>18</v>
      </c>
      <c r="B5" s="10"/>
      <c r="C5" s="10"/>
      <c r="D5" s="10"/>
      <c r="E5" s="10"/>
      <c r="F5" s="10"/>
    </row>
    <row r="6">
      <c r="A6" s="6" t="s">
        <v>35</v>
      </c>
      <c r="B6" s="13">
        <v>500000.0</v>
      </c>
      <c r="C6" s="6" t="s">
        <v>48</v>
      </c>
      <c r="D6" s="6" t="s">
        <v>52</v>
      </c>
      <c r="E6" s="9" t="s">
        <v>57</v>
      </c>
    </row>
    <row r="7">
      <c r="A7" s="6" t="s">
        <v>62</v>
      </c>
      <c r="B7" s="16">
        <v>2500.0</v>
      </c>
      <c r="C7" s="6" t="s">
        <v>71</v>
      </c>
      <c r="D7" s="6" t="s">
        <v>52</v>
      </c>
      <c r="E7" s="9" t="s">
        <v>57</v>
      </c>
    </row>
    <row r="8">
      <c r="A8" s="6" t="s">
        <v>78</v>
      </c>
      <c r="B8" s="13">
        <v>50000.0</v>
      </c>
      <c r="C8" s="6" t="s">
        <v>82</v>
      </c>
      <c r="D8" s="6" t="s">
        <v>52</v>
      </c>
      <c r="E8" s="9" t="s">
        <v>57</v>
      </c>
    </row>
    <row r="9">
      <c r="A9" s="6" t="s">
        <v>95</v>
      </c>
      <c r="B9" s="17">
        <f>B7*B8</f>
        <v>125000000</v>
      </c>
      <c r="C9" s="6" t="s">
        <v>124</v>
      </c>
      <c r="D9" s="6" t="s">
        <v>125</v>
      </c>
      <c r="E9" s="9" t="s">
        <v>126</v>
      </c>
    </row>
    <row r="10">
      <c r="A10" s="8" t="s">
        <v>127</v>
      </c>
      <c r="B10" s="10"/>
      <c r="C10" s="10"/>
      <c r="D10" s="10"/>
      <c r="E10" s="10"/>
      <c r="F10" s="10"/>
    </row>
    <row r="11">
      <c r="A11" s="6" t="s">
        <v>128</v>
      </c>
      <c r="B11" s="19">
        <v>0.15</v>
      </c>
      <c r="C11" s="6" t="s">
        <v>133</v>
      </c>
      <c r="D11" s="6" t="s">
        <v>52</v>
      </c>
      <c r="E11" s="9" t="s">
        <v>135</v>
      </c>
    </row>
    <row r="12">
      <c r="A12" s="6" t="s">
        <v>137</v>
      </c>
      <c r="B12" s="16">
        <v>5000000.0</v>
      </c>
      <c r="C12" s="6" t="s">
        <v>139</v>
      </c>
      <c r="D12" s="6" t="s">
        <v>52</v>
      </c>
      <c r="E12" s="9" t="s">
        <v>57</v>
      </c>
    </row>
    <row r="13">
      <c r="A13" s="6" t="s">
        <v>140</v>
      </c>
      <c r="B13" s="13">
        <v>48.0</v>
      </c>
      <c r="C13" s="6" t="s">
        <v>141</v>
      </c>
      <c r="D13" s="6" t="s">
        <v>52</v>
      </c>
      <c r="E13" s="9" t="s">
        <v>142</v>
      </c>
    </row>
    <row r="14">
      <c r="A14" s="8" t="s">
        <v>143</v>
      </c>
      <c r="B14" s="10"/>
      <c r="C14" s="10"/>
      <c r="D14" s="10"/>
      <c r="E14" s="10"/>
      <c r="F14" s="10"/>
    </row>
    <row r="15">
      <c r="A15" s="6" t="s">
        <v>128</v>
      </c>
      <c r="B15" s="19">
        <v>0.25</v>
      </c>
      <c r="C15" s="6" t="s">
        <v>133</v>
      </c>
      <c r="D15" s="6" t="s">
        <v>52</v>
      </c>
      <c r="E15" s="9" t="s">
        <v>57</v>
      </c>
    </row>
    <row r="16">
      <c r="A16" s="6" t="s">
        <v>144</v>
      </c>
      <c r="B16" s="13">
        <v>500000.0</v>
      </c>
      <c r="C16" s="6" t="s">
        <v>145</v>
      </c>
      <c r="D16" s="6" t="s">
        <v>52</v>
      </c>
      <c r="E16" s="9" t="s">
        <v>57</v>
      </c>
    </row>
    <row r="17">
      <c r="A17" s="6" t="s">
        <v>146</v>
      </c>
      <c r="B17" s="16">
        <v>250.0</v>
      </c>
      <c r="C17" s="6" t="s">
        <v>147</v>
      </c>
      <c r="D17" s="6" t="s">
        <v>52</v>
      </c>
      <c r="E17" s="9" t="s">
        <v>57</v>
      </c>
    </row>
    <row r="18">
      <c r="A18" s="8" t="s">
        <v>148</v>
      </c>
      <c r="B18" s="10"/>
      <c r="C18" s="10"/>
      <c r="D18" s="10"/>
      <c r="E18" s="10"/>
      <c r="F18" s="10"/>
    </row>
    <row r="19">
      <c r="A19" s="6" t="s">
        <v>128</v>
      </c>
      <c r="B19" s="19">
        <v>0.4</v>
      </c>
      <c r="C19" s="6" t="s">
        <v>133</v>
      </c>
      <c r="D19" s="6" t="s">
        <v>52</v>
      </c>
      <c r="E19" s="9" t="s">
        <v>57</v>
      </c>
    </row>
    <row r="20">
      <c r="A20" s="6" t="s">
        <v>149</v>
      </c>
      <c r="B20" s="13">
        <v>5000.0</v>
      </c>
      <c r="C20" s="6" t="s">
        <v>150</v>
      </c>
      <c r="D20" s="6" t="s">
        <v>52</v>
      </c>
      <c r="E20" s="9" t="s">
        <v>57</v>
      </c>
    </row>
    <row r="21" ht="15.75" customHeight="1">
      <c r="A21" s="6" t="s">
        <v>151</v>
      </c>
      <c r="B21" s="16">
        <v>1500.0</v>
      </c>
      <c r="C21" s="6" t="s">
        <v>152</v>
      </c>
      <c r="D21" s="6" t="s">
        <v>52</v>
      </c>
      <c r="E21" s="9" t="s">
        <v>57</v>
      </c>
    </row>
    <row r="22" ht="15.75" customHeight="1">
      <c r="A22" s="8" t="s">
        <v>153</v>
      </c>
      <c r="B22" s="10"/>
      <c r="C22" s="10"/>
      <c r="D22" s="10"/>
      <c r="E22" s="10"/>
      <c r="F22" s="10"/>
    </row>
    <row r="23" ht="42.0" customHeight="1">
      <c r="A23" s="5" t="s">
        <v>154</v>
      </c>
      <c r="B23" s="5" t="s">
        <v>155</v>
      </c>
      <c r="C23" s="5" t="s">
        <v>156</v>
      </c>
      <c r="D23" s="5" t="s">
        <v>157</v>
      </c>
      <c r="E23" s="5" t="s">
        <v>158</v>
      </c>
      <c r="F23" s="5" t="s">
        <v>159</v>
      </c>
    </row>
    <row r="24" ht="15.75" customHeight="1">
      <c r="A24" s="6" t="s">
        <v>160</v>
      </c>
      <c r="B24" s="16">
        <v>350000.0</v>
      </c>
      <c r="C24" s="20">
        <v>0.9</v>
      </c>
      <c r="D24" s="16">
        <v>50000.0</v>
      </c>
      <c r="E24" s="21" t="s">
        <v>161</v>
      </c>
      <c r="F24" s="22">
        <f>ROUNDUP(Gantt!F12/$B$38,0)</f>
        <v>3</v>
      </c>
    </row>
    <row r="25" ht="15.75" customHeight="1">
      <c r="A25" s="6" t="s">
        <v>162</v>
      </c>
      <c r="B25" s="16">
        <v>150000.0</v>
      </c>
      <c r="C25" s="20">
        <v>0.75</v>
      </c>
      <c r="D25" s="16">
        <v>25000.0</v>
      </c>
      <c r="E25" s="21" t="s">
        <v>163</v>
      </c>
      <c r="F25" s="22">
        <f>ROUNDUP(Gantt!F7/$B$38,0)</f>
        <v>1</v>
      </c>
    </row>
    <row r="26" ht="15.75" customHeight="1">
      <c r="A26" s="6" t="s">
        <v>164</v>
      </c>
      <c r="B26" s="16">
        <v>200000.0</v>
      </c>
      <c r="C26" s="20">
        <v>0.95</v>
      </c>
      <c r="D26" s="16">
        <v>30000.0</v>
      </c>
      <c r="E26" s="21" t="s">
        <v>165</v>
      </c>
      <c r="F26" s="22">
        <f>ROUNDUP(Gantt!F10/$B$38,0)</f>
        <v>3</v>
      </c>
    </row>
    <row r="27" ht="15.75" customHeight="1">
      <c r="A27" s="8" t="s">
        <v>166</v>
      </c>
      <c r="B27" s="10"/>
      <c r="C27" s="10"/>
      <c r="D27" s="10"/>
      <c r="E27" s="10"/>
      <c r="F27" s="10"/>
    </row>
    <row r="28" ht="15.75" customHeight="1">
      <c r="A28" s="6" t="s">
        <v>167</v>
      </c>
      <c r="B28" s="23">
        <v>3.0</v>
      </c>
      <c r="C28" s="6" t="s">
        <v>168</v>
      </c>
      <c r="D28" s="6" t="s">
        <v>9</v>
      </c>
      <c r="E28" s="9" t="s">
        <v>169</v>
      </c>
    </row>
    <row r="29" ht="15.75" customHeight="1">
      <c r="A29" s="6" t="s">
        <v>170</v>
      </c>
      <c r="B29" s="23">
        <v>1.0</v>
      </c>
      <c r="C29" s="6" t="s">
        <v>168</v>
      </c>
      <c r="D29" s="6" t="s">
        <v>9</v>
      </c>
      <c r="E29" s="9" t="s">
        <v>171</v>
      </c>
    </row>
    <row r="30" ht="15.75" customHeight="1">
      <c r="A30" s="6" t="s">
        <v>172</v>
      </c>
      <c r="B30" s="24">
        <v>1.0</v>
      </c>
      <c r="C30" s="6" t="s">
        <v>173</v>
      </c>
      <c r="D30" s="6" t="s">
        <v>9</v>
      </c>
      <c r="E30" s="9" t="s">
        <v>171</v>
      </c>
    </row>
    <row r="31" ht="15.75" customHeight="1">
      <c r="A31" s="6" t="s">
        <v>174</v>
      </c>
      <c r="B31" s="25">
        <v>1.0E7</v>
      </c>
      <c r="C31" s="6" t="s">
        <v>175</v>
      </c>
      <c r="D31" s="6" t="s">
        <v>9</v>
      </c>
      <c r="E31" s="9" t="s">
        <v>80</v>
      </c>
    </row>
    <row r="32" ht="15.75" customHeight="1">
      <c r="A32" s="6" t="s">
        <v>176</v>
      </c>
      <c r="B32" s="25">
        <v>1000000.0</v>
      </c>
      <c r="C32" s="6" t="s">
        <v>175</v>
      </c>
      <c r="D32" s="6" t="s">
        <v>9</v>
      </c>
      <c r="E32" s="9" t="s">
        <v>80</v>
      </c>
    </row>
    <row r="33" ht="15.75" customHeight="1">
      <c r="A33" s="6" t="s">
        <v>177</v>
      </c>
      <c r="B33" s="25">
        <v>100000.0</v>
      </c>
      <c r="C33" s="6" t="s">
        <v>175</v>
      </c>
      <c r="D33" s="6" t="s">
        <v>9</v>
      </c>
      <c r="E33" s="9" t="s">
        <v>178</v>
      </c>
    </row>
    <row r="34" ht="15.75" customHeight="1">
      <c r="A34" s="6" t="s">
        <v>179</v>
      </c>
      <c r="B34" s="24">
        <v>0.3</v>
      </c>
      <c r="C34" s="6" t="s">
        <v>133</v>
      </c>
      <c r="D34" s="6" t="s">
        <v>9</v>
      </c>
      <c r="E34" s="9" t="s">
        <v>80</v>
      </c>
    </row>
    <row r="35" ht="15.75" customHeight="1">
      <c r="A35" s="6" t="s">
        <v>180</v>
      </c>
      <c r="B35" s="24">
        <v>0.1</v>
      </c>
      <c r="C35" s="6" t="s">
        <v>133</v>
      </c>
      <c r="D35" s="6" t="s">
        <v>9</v>
      </c>
      <c r="E35" s="9" t="s">
        <v>178</v>
      </c>
    </row>
    <row r="36" ht="15.75" customHeight="1">
      <c r="A36" s="6" t="s">
        <v>181</v>
      </c>
      <c r="B36" s="25">
        <v>1.0E7</v>
      </c>
      <c r="C36" s="6" t="s">
        <v>139</v>
      </c>
      <c r="D36" s="6" t="s">
        <v>9</v>
      </c>
      <c r="E36" s="9" t="s">
        <v>80</v>
      </c>
    </row>
    <row r="37" ht="15.75" customHeight="1">
      <c r="A37" s="6" t="s">
        <v>182</v>
      </c>
      <c r="B37" s="25">
        <v>1000000.0</v>
      </c>
      <c r="C37" s="6" t="s">
        <v>139</v>
      </c>
      <c r="D37" s="6" t="s">
        <v>9</v>
      </c>
      <c r="E37" s="9" t="s">
        <v>178</v>
      </c>
    </row>
    <row r="38" ht="15.75" customHeight="1">
      <c r="A38" s="6" t="s">
        <v>183</v>
      </c>
      <c r="B38" s="23">
        <v>30.0</v>
      </c>
      <c r="C38" s="6" t="s">
        <v>184</v>
      </c>
      <c r="D38" s="6" t="s">
        <v>9</v>
      </c>
      <c r="E38" s="9" t="s">
        <v>91</v>
      </c>
    </row>
    <row r="39" ht="15.75" customHeight="1">
      <c r="A39" s="6" t="s">
        <v>185</v>
      </c>
      <c r="B39" s="23">
        <v>1.0</v>
      </c>
      <c r="C39" s="6" t="s">
        <v>186</v>
      </c>
      <c r="D39" s="6" t="s">
        <v>9</v>
      </c>
      <c r="E39" s="9" t="s">
        <v>187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70.0"/>
    <col customWidth="1" min="3" max="3" width="55.0"/>
    <col customWidth="1" min="4" max="4" width="45.0"/>
    <col customWidth="1" min="5" max="26" width="8.71"/>
  </cols>
  <sheetData>
    <row r="1">
      <c r="A1" s="1" t="s">
        <v>0</v>
      </c>
    </row>
    <row r="2">
      <c r="A2" s="3" t="s">
        <v>3</v>
      </c>
    </row>
    <row r="4">
      <c r="A4" s="5" t="s">
        <v>7</v>
      </c>
      <c r="B4" s="5" t="s">
        <v>9</v>
      </c>
      <c r="C4" s="5" t="s">
        <v>11</v>
      </c>
      <c r="D4" s="5" t="s">
        <v>14</v>
      </c>
    </row>
    <row r="5" ht="61.5" customHeight="1">
      <c r="A5" s="9" t="s">
        <v>20</v>
      </c>
      <c r="B5" s="9" t="s">
        <v>24</v>
      </c>
      <c r="C5" s="9" t="s">
        <v>25</v>
      </c>
      <c r="D5" s="9" t="s">
        <v>26</v>
      </c>
    </row>
    <row r="6" ht="61.5" customHeight="1">
      <c r="A6" s="9" t="s">
        <v>28</v>
      </c>
      <c r="B6" s="9" t="s">
        <v>29</v>
      </c>
      <c r="C6" s="9" t="s">
        <v>30</v>
      </c>
      <c r="D6" s="9" t="s">
        <v>31</v>
      </c>
    </row>
    <row r="7" ht="61.5" customHeight="1">
      <c r="A7" s="9" t="s">
        <v>32</v>
      </c>
      <c r="B7" s="9" t="s">
        <v>33</v>
      </c>
      <c r="C7" s="9" t="s">
        <v>36</v>
      </c>
      <c r="D7" s="9" t="s">
        <v>37</v>
      </c>
    </row>
    <row r="8" ht="61.5" customHeight="1">
      <c r="A8" s="9" t="s">
        <v>38</v>
      </c>
      <c r="B8" s="9" t="s">
        <v>39</v>
      </c>
      <c r="C8" s="9" t="s">
        <v>41</v>
      </c>
      <c r="D8" s="9" t="s">
        <v>42</v>
      </c>
    </row>
    <row r="9" ht="61.5" customHeight="1">
      <c r="A9" s="9" t="s">
        <v>43</v>
      </c>
      <c r="B9" s="9" t="s">
        <v>45</v>
      </c>
      <c r="C9" s="9" t="s">
        <v>46</v>
      </c>
      <c r="D9" s="9" t="s">
        <v>47</v>
      </c>
    </row>
    <row r="10" ht="61.5" customHeight="1">
      <c r="A10" s="9" t="s">
        <v>49</v>
      </c>
      <c r="B10" s="9" t="s">
        <v>51</v>
      </c>
      <c r="C10" s="9" t="s">
        <v>53</v>
      </c>
      <c r="D10" s="9" t="s">
        <v>55</v>
      </c>
    </row>
    <row r="11" ht="61.5" customHeight="1">
      <c r="A11" s="9" t="s">
        <v>58</v>
      </c>
      <c r="B11" s="9" t="s">
        <v>59</v>
      </c>
      <c r="C11" s="9" t="s">
        <v>61</v>
      </c>
      <c r="D11" s="9" t="s">
        <v>63</v>
      </c>
    </row>
    <row r="12" ht="61.5" customHeight="1">
      <c r="A12" s="9" t="s">
        <v>65</v>
      </c>
      <c r="B12" s="9" t="s">
        <v>66</v>
      </c>
      <c r="C12" s="9" t="s">
        <v>68</v>
      </c>
      <c r="D12" s="9" t="s">
        <v>69</v>
      </c>
    </row>
    <row r="13" ht="61.5" customHeight="1">
      <c r="A13" s="9" t="s">
        <v>72</v>
      </c>
      <c r="B13" s="9" t="s">
        <v>73</v>
      </c>
      <c r="C13" s="9" t="s">
        <v>75</v>
      </c>
      <c r="D13" s="9" t="s">
        <v>77</v>
      </c>
    </row>
    <row r="14" ht="61.5" customHeight="1">
      <c r="A14" s="9" t="s">
        <v>80</v>
      </c>
      <c r="B14" s="9" t="s">
        <v>88</v>
      </c>
      <c r="C14" s="9" t="s">
        <v>89</v>
      </c>
      <c r="D14" s="9" t="s">
        <v>90</v>
      </c>
    </row>
    <row r="15" ht="61.5" customHeight="1">
      <c r="A15" s="9" t="s">
        <v>91</v>
      </c>
      <c r="B15" s="9" t="s">
        <v>92</v>
      </c>
      <c r="C15" s="9" t="s">
        <v>93</v>
      </c>
      <c r="D15" s="9" t="s">
        <v>94</v>
      </c>
    </row>
    <row r="16" ht="61.5" customHeight="1">
      <c r="A16" s="9" t="s">
        <v>96</v>
      </c>
      <c r="B16" s="9" t="s">
        <v>97</v>
      </c>
      <c r="C16" s="9" t="s">
        <v>98</v>
      </c>
      <c r="D16" s="9" t="s">
        <v>99</v>
      </c>
    </row>
    <row r="17" ht="61.5" customHeight="1">
      <c r="A17" s="9" t="s">
        <v>100</v>
      </c>
      <c r="B17" s="9" t="s">
        <v>101</v>
      </c>
      <c r="C17" s="9" t="s">
        <v>102</v>
      </c>
      <c r="D17" s="9" t="s">
        <v>103</v>
      </c>
    </row>
    <row r="18" ht="61.5" customHeight="1">
      <c r="A18" s="9" t="s">
        <v>104</v>
      </c>
      <c r="B18" s="9" t="s">
        <v>105</v>
      </c>
      <c r="C18" s="9" t="s">
        <v>106</v>
      </c>
      <c r="D18" s="9" t="s">
        <v>107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6.0"/>
    <col customWidth="1" min="2" max="2" width="38.0"/>
    <col customWidth="1" min="3" max="3" width="30.0"/>
    <col customWidth="1" min="4" max="4" width="16.0"/>
    <col customWidth="1" min="5" max="5" width="28.0"/>
    <col customWidth="1" min="6" max="6" width="16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9.0"/>
    <col customWidth="1" min="12" max="12" width="70.0"/>
    <col customWidth="1" min="13" max="26" width="8.71"/>
  </cols>
  <sheetData>
    <row r="1">
      <c r="A1" s="2" t="s">
        <v>188</v>
      </c>
    </row>
    <row r="2">
      <c r="A2" s="3" t="s">
        <v>189</v>
      </c>
    </row>
    <row r="4" ht="43.5" customHeight="1">
      <c r="A4" s="5" t="s">
        <v>7</v>
      </c>
      <c r="B4" s="5" t="s">
        <v>191</v>
      </c>
      <c r="C4" s="5" t="s">
        <v>192</v>
      </c>
      <c r="D4" s="5" t="s">
        <v>194</v>
      </c>
      <c r="E4" s="5" t="s">
        <v>195</v>
      </c>
      <c r="F4" s="5" t="s">
        <v>196</v>
      </c>
      <c r="G4" s="5" t="s">
        <v>197</v>
      </c>
      <c r="H4" s="5" t="s">
        <v>198</v>
      </c>
      <c r="I4" s="5" t="s">
        <v>200</v>
      </c>
      <c r="J4" s="5" t="s">
        <v>201</v>
      </c>
      <c r="K4" s="5" t="s">
        <v>203</v>
      </c>
      <c r="L4" s="5" t="s">
        <v>204</v>
      </c>
    </row>
    <row r="5" ht="42.0" customHeight="1">
      <c r="A5" s="26" t="s">
        <v>161</v>
      </c>
      <c r="B5" s="6" t="s">
        <v>212</v>
      </c>
      <c r="C5" s="9" t="s">
        <v>213</v>
      </c>
      <c r="D5" s="28">
        <f>Inputs!B12</f>
        <v>5000000</v>
      </c>
      <c r="E5" s="9" t="s">
        <v>214</v>
      </c>
      <c r="F5" s="29">
        <f>Inputs!B39</f>
        <v>1</v>
      </c>
      <c r="G5" s="17">
        <f t="shared" ref="G5:G7" si="1">D5*F5</f>
        <v>5000000</v>
      </c>
      <c r="H5" s="30">
        <f>Inputs!B11</f>
        <v>0.15</v>
      </c>
      <c r="I5" s="32">
        <f t="shared" ref="I5:I7" si="2">G5*H5</f>
        <v>750000</v>
      </c>
      <c r="J5" s="34">
        <f t="shared" ref="J5:J7" si="3">I5/$I$8</f>
        <v>0.02142857143</v>
      </c>
      <c r="K5" s="33">
        <f t="shared" ref="K5:K7" si="4">RANK(I5,$I$5:$I$7)</f>
        <v>3</v>
      </c>
      <c r="L5" s="9" t="str">
        <f t="shared" ref="L5:L7" si="5">"SLE = "&amp;TEXT(D5,"#,##0")&amp;" × "&amp;TEXT(F5,"#,##0")&amp;" = $"&amp;TEXT(G5,"#,##0")&amp;"  |  ALE = $"&amp;TEXT(G5,"#,##0")&amp;" × "&amp;TEXT(H5,"0%")&amp;" = $"&amp;TEXT(I5,"#,##0")</f>
        <v>SLE = 5,000,000 × 1 = $5,000,000  |  ALE = $5,000,000 × 15% = $750,000</v>
      </c>
    </row>
    <row r="6" ht="42.0" customHeight="1">
      <c r="A6" s="26" t="s">
        <v>163</v>
      </c>
      <c r="B6" s="6" t="s">
        <v>215</v>
      </c>
      <c r="C6" s="9" t="s">
        <v>216</v>
      </c>
      <c r="D6" s="29">
        <f>Inputs!B16</f>
        <v>500000</v>
      </c>
      <c r="E6" s="9" t="s">
        <v>217</v>
      </c>
      <c r="F6" s="28">
        <f>Inputs!B17</f>
        <v>250</v>
      </c>
      <c r="G6" s="17">
        <f t="shared" si="1"/>
        <v>125000000</v>
      </c>
      <c r="H6" s="30">
        <f>Inputs!B15</f>
        <v>0.25</v>
      </c>
      <c r="I6" s="32">
        <f t="shared" si="2"/>
        <v>31250000</v>
      </c>
      <c r="J6" s="34">
        <f t="shared" si="3"/>
        <v>0.8928571429</v>
      </c>
      <c r="K6" s="33">
        <f t="shared" si="4"/>
        <v>1</v>
      </c>
      <c r="L6" s="9" t="str">
        <f t="shared" si="5"/>
        <v>SLE = 500,000 × 250 = $125,000,000  |  ALE = $125,000,000 × 25% = $31,250,000</v>
      </c>
    </row>
    <row r="7" ht="42.0" customHeight="1">
      <c r="A7" s="26" t="s">
        <v>165</v>
      </c>
      <c r="B7" s="6" t="s">
        <v>218</v>
      </c>
      <c r="C7" s="9" t="s">
        <v>219</v>
      </c>
      <c r="D7" s="29">
        <f>Inputs!B20</f>
        <v>5000</v>
      </c>
      <c r="E7" s="9" t="s">
        <v>220</v>
      </c>
      <c r="F7" s="28">
        <f>Inputs!B21</f>
        <v>1500</v>
      </c>
      <c r="G7" s="17">
        <f t="shared" si="1"/>
        <v>7500000</v>
      </c>
      <c r="H7" s="30">
        <f>Inputs!B19</f>
        <v>0.4</v>
      </c>
      <c r="I7" s="32">
        <f t="shared" si="2"/>
        <v>3000000</v>
      </c>
      <c r="J7" s="34">
        <f t="shared" si="3"/>
        <v>0.08571428571</v>
      </c>
      <c r="K7" s="33">
        <f t="shared" si="4"/>
        <v>2</v>
      </c>
      <c r="L7" s="9" t="str">
        <f t="shared" si="5"/>
        <v>SLE = 5,000 × 1,500 = $7,500,000  |  ALE = $7,500,000 × 40% = $3,000,000</v>
      </c>
    </row>
    <row r="8">
      <c r="A8" s="36"/>
      <c r="B8" s="37" t="s">
        <v>221</v>
      </c>
      <c r="C8" s="36"/>
      <c r="D8" s="36"/>
      <c r="E8" s="36"/>
      <c r="F8" s="36"/>
      <c r="G8" s="36"/>
      <c r="H8" s="36"/>
      <c r="I8" s="38">
        <f t="shared" ref="I8:J8" si="6">SUM(I5:I7)</f>
        <v>35000000</v>
      </c>
      <c r="J8" s="39">
        <f t="shared" si="6"/>
        <v>1</v>
      </c>
      <c r="K8" s="36"/>
      <c r="L8" s="40" t="str">
        <f>"Total ALE = $"&amp;TEXT(I5,"#,##0")&amp;" + $"&amp;TEXT(I6,"#,##0")&amp;" + $"&amp;TEXT(I7,"#,##0")&amp;" = $"&amp;TEXT(I8,"#,##0")</f>
        <v>Total ALE = $750,000 + $31,250,000 + $3,000,000 = $35,000,000</v>
      </c>
    </row>
    <row r="10">
      <c r="A10" s="3" t="s">
        <v>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42.0"/>
    <col customWidth="1" min="3" max="3" width="22.0"/>
    <col customWidth="1" min="4" max="4" width="24.0"/>
    <col customWidth="1" min="5" max="5" width="22.0"/>
    <col customWidth="1" min="6" max="6" width="10.0"/>
    <col customWidth="1" min="7" max="8" width="14.0"/>
    <col customWidth="1" min="9" max="11" width="11.0"/>
    <col customWidth="1" min="12" max="12" width="14.0"/>
    <col customWidth="1" min="13" max="13" width="20.0"/>
    <col customWidth="1" min="14" max="26" width="8.71"/>
  </cols>
  <sheetData>
    <row r="1">
      <c r="A1" s="2" t="s">
        <v>190</v>
      </c>
    </row>
    <row r="2">
      <c r="A2" s="3" t="s">
        <v>193</v>
      </c>
    </row>
    <row r="4" ht="43.5" customHeight="1">
      <c r="A4" s="5" t="s">
        <v>7</v>
      </c>
      <c r="B4" s="5" t="s">
        <v>191</v>
      </c>
      <c r="C4" s="5" t="s">
        <v>199</v>
      </c>
      <c r="D4" s="5" t="s">
        <v>198</v>
      </c>
      <c r="E4" s="5" t="s">
        <v>202</v>
      </c>
      <c r="F4" s="5" t="s">
        <v>203</v>
      </c>
      <c r="G4" s="5" t="s">
        <v>205</v>
      </c>
      <c r="H4" s="5" t="s">
        <v>206</v>
      </c>
      <c r="I4" s="5" t="s">
        <v>207</v>
      </c>
      <c r="J4" s="5" t="s">
        <v>208</v>
      </c>
      <c r="K4" s="5" t="s">
        <v>209</v>
      </c>
      <c r="L4" s="5" t="s">
        <v>210</v>
      </c>
      <c r="M4" s="5" t="s">
        <v>211</v>
      </c>
    </row>
    <row r="5">
      <c r="A5" s="27" t="str">
        <f>Risk_Calc!A5</f>
        <v>F1</v>
      </c>
      <c r="B5" s="15" t="str">
        <f>Risk_Calc!B5</f>
        <v>F1 – API Authentication Bypass</v>
      </c>
      <c r="C5" s="28">
        <f>Risk_Calc!G5</f>
        <v>5000000</v>
      </c>
      <c r="D5" s="30">
        <f>Risk_Calc!H5</f>
        <v>0.15</v>
      </c>
      <c r="E5" s="31">
        <f>Risk_Calc!I5</f>
        <v>750000</v>
      </c>
      <c r="F5" s="33">
        <f t="shared" ref="F5:F7" si="2">RANK(E5,$E$5:$E$7)</f>
        <v>3</v>
      </c>
      <c r="G5" s="35" t="str">
        <f>IF(D5&gt;=Inputs!$B$34,"High",IF(D5&gt;=Inputs!$B$35,"Medium","Low"))</f>
        <v>Medium</v>
      </c>
      <c r="H5" s="35" t="str">
        <f>IF(C5&gt;=Inputs!$B$36,"High",IF(C5&gt;=Inputs!$B$37,"Medium","Low"))</f>
        <v>Medium</v>
      </c>
      <c r="I5" s="33">
        <f t="shared" ref="I5:J5" si="1">IF(G5="High",3,IF(G5="Medium",2,1))</f>
        <v>2</v>
      </c>
      <c r="J5" s="33">
        <f t="shared" si="1"/>
        <v>2</v>
      </c>
      <c r="K5" s="33">
        <f t="shared" ref="K5:K7" si="4">I5*J5</f>
        <v>4</v>
      </c>
      <c r="L5" s="26" t="str">
        <f t="shared" ref="L5:L7" si="5">IF(K5&gt;=6,"High",IF(K5&gt;=3,"Medium","Low"))</f>
        <v>Medium</v>
      </c>
      <c r="M5" s="26" t="str">
        <f>IF(E5&gt;=Inputs!$B$31,"Critical",IF(E5&gt;=Inputs!$B$32,"High",IF(E5&gt;=Inputs!$B$33,"Medium","Low")))</f>
        <v>Medium</v>
      </c>
    </row>
    <row r="6">
      <c r="A6" s="27" t="str">
        <f>Risk_Calc!A6</f>
        <v>F2</v>
      </c>
      <c r="B6" s="15" t="str">
        <f>Risk_Calc!B6</f>
        <v>F2 – Database Injection Vulnerability</v>
      </c>
      <c r="C6" s="28">
        <f>Risk_Calc!G6</f>
        <v>125000000</v>
      </c>
      <c r="D6" s="30">
        <f>Risk_Calc!H6</f>
        <v>0.25</v>
      </c>
      <c r="E6" s="31">
        <f>Risk_Calc!I6</f>
        <v>31250000</v>
      </c>
      <c r="F6" s="33">
        <f t="shared" si="2"/>
        <v>1</v>
      </c>
      <c r="G6" s="35" t="str">
        <f>IF(D6&gt;=Inputs!$B$34,"High",IF(D6&gt;=Inputs!$B$35,"Medium","Low"))</f>
        <v>Medium</v>
      </c>
      <c r="H6" s="35" t="str">
        <f>IF(C6&gt;=Inputs!$B$36,"High",IF(C6&gt;=Inputs!$B$37,"Medium","Low"))</f>
        <v>High</v>
      </c>
      <c r="I6" s="33">
        <f t="shared" ref="I6:J6" si="3">IF(G6="High",3,IF(G6="Medium",2,1))</f>
        <v>2</v>
      </c>
      <c r="J6" s="33">
        <f t="shared" si="3"/>
        <v>3</v>
      </c>
      <c r="K6" s="33">
        <f t="shared" si="4"/>
        <v>6</v>
      </c>
      <c r="L6" s="26" t="str">
        <f t="shared" si="5"/>
        <v>High</v>
      </c>
      <c r="M6" s="26" t="str">
        <f>IF(E6&gt;=Inputs!$B$31,"Critical",IF(E6&gt;=Inputs!$B$32,"High",IF(E6&gt;=Inputs!$B$33,"Medium","Low")))</f>
        <v>Critical</v>
      </c>
    </row>
    <row r="7">
      <c r="A7" s="27" t="str">
        <f>Risk_Calc!A7</f>
        <v>F3</v>
      </c>
      <c r="B7" s="15" t="str">
        <f>Risk_Calc!B7</f>
        <v>F3 – Session Hijacking</v>
      </c>
      <c r="C7" s="28">
        <f>Risk_Calc!G7</f>
        <v>7500000</v>
      </c>
      <c r="D7" s="30">
        <f>Risk_Calc!H7</f>
        <v>0.4</v>
      </c>
      <c r="E7" s="31">
        <f>Risk_Calc!I7</f>
        <v>3000000</v>
      </c>
      <c r="F7" s="33">
        <f t="shared" si="2"/>
        <v>2</v>
      </c>
      <c r="G7" s="35" t="str">
        <f>IF(D7&gt;=Inputs!$B$34,"High",IF(D7&gt;=Inputs!$B$35,"Medium","Low"))</f>
        <v>High</v>
      </c>
      <c r="H7" s="35" t="str">
        <f>IF(C7&gt;=Inputs!$B$36,"High",IF(C7&gt;=Inputs!$B$37,"Medium","Low"))</f>
        <v>Medium</v>
      </c>
      <c r="I7" s="33">
        <f t="shared" ref="I7:J7" si="6">IF(G7="High",3,IF(G7="Medium",2,1))</f>
        <v>3</v>
      </c>
      <c r="J7" s="33">
        <f t="shared" si="6"/>
        <v>2</v>
      </c>
      <c r="K7" s="33">
        <f t="shared" si="4"/>
        <v>6</v>
      </c>
      <c r="L7" s="26" t="str">
        <f t="shared" si="5"/>
        <v>High</v>
      </c>
      <c r="M7" s="26" t="str">
        <f>IF(E7&gt;=Inputs!$B$31,"Critical",IF(E7&gt;=Inputs!$B$32,"High",IF(E7&gt;=Inputs!$B$33,"Medium","Low")))</f>
        <v>High</v>
      </c>
    </row>
    <row r="9">
      <c r="A9" s="11" t="s">
        <v>232</v>
      </c>
    </row>
    <row r="10" ht="31.5" customHeight="1">
      <c r="B10" s="5" t="s">
        <v>233</v>
      </c>
      <c r="C10" s="5" t="str">
        <f>"Low (&lt; "&amp;TEXT(Inputs!B35,"0%")&amp;")"</f>
        <v>Low (&lt; 10%)</v>
      </c>
      <c r="D10" s="5" t="str">
        <f>"Medium ("&amp;TEXT(Inputs!B35,"0%")&amp;" to &lt; "&amp;TEXT(Inputs!B34,"0%")&amp;")"</f>
        <v>Medium (10% to &lt; 30%)</v>
      </c>
      <c r="E10" s="5" t="str">
        <f>"High (≥ "&amp;TEXT(Inputs!B34,"0%")&amp;")"</f>
        <v>High (≥ 30%)</v>
      </c>
    </row>
    <row r="11" ht="37.5" customHeight="1">
      <c r="B11" s="5" t="str">
        <f>"High (SLE ≥ $"&amp;TEXT(Inputs!B36,"#,##0")&amp;")"</f>
        <v>High (SLE ≥ $10,000,000)</v>
      </c>
      <c r="C11" s="44" t="str">
        <f>TRIM(IF(AND($J$5=3,$I$5=1),"F1 ","")&amp;IF(AND($J$6=3,$I$6=1),"F2 ","")&amp;IF(AND($J$7=3,$I$7=1),"F3 ",""))</f>
        <v/>
      </c>
      <c r="D11" s="45" t="str">
        <f>TRIM(IF(AND($J$5=3,$I$5=2),"F1 ","")&amp;IF(AND($J$6=3,$I$6=2),"F2 ","")&amp;IF(AND($J$7=3,$I$7=2),"F3 ",""))</f>
        <v>F2</v>
      </c>
      <c r="E11" s="45" t="str">
        <f>TRIM(IF(AND($J$5=3,$I$5=3),"F1 ","")&amp;IF(AND($J$6=3,$I$6=3),"F2 ","")&amp;IF(AND($J$7=3,$I$7=3),"F3 ",""))</f>
        <v/>
      </c>
    </row>
    <row r="12" ht="37.5" customHeight="1">
      <c r="B12" s="5" t="str">
        <f>"Medium ($"&amp;TEXT(Inputs!B37,"#,##0")&amp;" to &lt; $"&amp;TEXT(Inputs!B36,"#,##0")&amp;")"</f>
        <v>Medium ($1,000,000 to &lt; $10,000,000)</v>
      </c>
      <c r="C12" s="46" t="str">
        <f>TRIM(IF(AND($J$5=2,$I$5=1),"F1 ","")&amp;IF(AND($J$6=2,$I$6=1),"F2 ","")&amp;IF(AND($J$7=2,$I$7=1),"F3 ",""))</f>
        <v/>
      </c>
      <c r="D12" s="44" t="str">
        <f>TRIM(IF(AND($J$5=2,$I$5=2),"F1 ","")&amp;IF(AND($J$6=2,$I$6=2),"F2 ","")&amp;IF(AND($J$7=2,$I$7=2),"F3 ",""))</f>
        <v>F1</v>
      </c>
      <c r="E12" s="45" t="str">
        <f>TRIM(IF(AND($J$5=2,$I$5=3),"F1 ","")&amp;IF(AND($J$6=2,$I$6=3),"F2 ","")&amp;IF(AND($J$7=2,$I$7=3),"F3 ",""))</f>
        <v>F3</v>
      </c>
    </row>
    <row r="13" ht="37.5" customHeight="1">
      <c r="B13" s="5" t="str">
        <f>"Low (SLE &lt; $"&amp;TEXT(Inputs!B37,"#,##0")&amp;")"</f>
        <v>Low (SLE &lt; $1,000,000)</v>
      </c>
      <c r="C13" s="46" t="str">
        <f>TRIM(IF(AND($J$5=1,$I$5=1),"F1 ","")&amp;IF(AND($J$6=1,$I$6=1),"F2 ","")&amp;IF(AND($J$7=1,$I$7=1),"F3 ",""))</f>
        <v/>
      </c>
      <c r="D13" s="46" t="str">
        <f>TRIM(IF(AND($J$5=1,$I$5=2),"F1 ","")&amp;IF(AND($J$6=1,$I$6=2),"F2 ","")&amp;IF(AND($J$7=1,$I$7=2),"F3 ",""))</f>
        <v/>
      </c>
      <c r="E13" s="44" t="str">
        <f>TRIM(IF(AND($J$5=1,$I$5=3),"F1 ","")&amp;IF(AND($J$6=1,$I$6=3),"F2 ","")&amp;IF(AND($J$7=1,$I$7=3),"F3 ",""))</f>
        <v/>
      </c>
    </row>
    <row r="15">
      <c r="A15" s="3" t="s">
        <v>258</v>
      </c>
    </row>
    <row r="16">
      <c r="A16" s="3" t="s">
        <v>259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5:L7">
    <cfRule type="expression" dxfId="0" priority="1">
      <formula>L5="Critical"</formula>
    </cfRule>
  </conditionalFormatting>
  <conditionalFormatting sqref="L5:L7">
    <cfRule type="expression" dxfId="1" priority="2">
      <formula>L5="High"</formula>
    </cfRule>
  </conditionalFormatting>
  <conditionalFormatting sqref="L5:L7">
    <cfRule type="expression" dxfId="2" priority="3">
      <formula>L5="Medium"</formula>
    </cfRule>
  </conditionalFormatting>
  <conditionalFormatting sqref="L5:L7">
    <cfRule type="expression" dxfId="3" priority="4">
      <formula>L5="Low"</formula>
    </cfRule>
  </conditionalFormatting>
  <conditionalFormatting sqref="M5:M7">
    <cfRule type="expression" dxfId="0" priority="5">
      <formula>M5="Critical"</formula>
    </cfRule>
  </conditionalFormatting>
  <conditionalFormatting sqref="M5:M7">
    <cfRule type="expression" dxfId="1" priority="6">
      <formula>M5="High"</formula>
    </cfRule>
  </conditionalFormatting>
  <conditionalFormatting sqref="M5:M7">
    <cfRule type="expression" dxfId="2" priority="7">
      <formula>M5="Medium"</formula>
    </cfRule>
  </conditionalFormatting>
  <conditionalFormatting sqref="M5:M7">
    <cfRule type="expression" dxfId="3" priority="8">
      <formula>M5="Low"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36.0"/>
    <col customWidth="1" min="2" max="2" width="46.0"/>
    <col customWidth="1" min="3" max="5" width="28.0"/>
    <col customWidth="1" min="6" max="6" width="24.0"/>
    <col customWidth="1" min="7" max="26" width="8.71"/>
  </cols>
  <sheetData>
    <row r="1">
      <c r="A1" s="2" t="s">
        <v>222</v>
      </c>
    </row>
    <row r="2">
      <c r="A2" s="3" t="s">
        <v>223</v>
      </c>
    </row>
    <row r="4" ht="43.5" customHeight="1">
      <c r="A4" s="5" t="s">
        <v>224</v>
      </c>
      <c r="B4" s="5" t="s">
        <v>225</v>
      </c>
      <c r="C4" s="5" t="str">
        <f>Inputs!A24</f>
        <v>Advanced API Security Gateway</v>
      </c>
      <c r="D4" s="5" t="str">
        <f>Inputs!A25</f>
        <v>Web Application Firewall (WAF)</v>
      </c>
      <c r="E4" s="5" t="str">
        <f>Inputs!A26</f>
        <v>Multi-Factor Authentication Enhancement</v>
      </c>
      <c r="F4" s="5" t="s">
        <v>227</v>
      </c>
    </row>
    <row r="5">
      <c r="A5" s="9" t="s">
        <v>228</v>
      </c>
      <c r="B5" s="9" t="s">
        <v>229</v>
      </c>
      <c r="C5" s="27" t="str">
        <f>Inputs!E24</f>
        <v>F1</v>
      </c>
      <c r="D5" s="27" t="str">
        <f>Inputs!E25</f>
        <v>F2</v>
      </c>
      <c r="E5" s="27" t="str">
        <f>Inputs!E26</f>
        <v>F3</v>
      </c>
      <c r="F5" s="36"/>
    </row>
    <row r="6">
      <c r="A6" s="9" t="s">
        <v>230</v>
      </c>
      <c r="B6" s="9" t="s">
        <v>231</v>
      </c>
      <c r="C6" s="28">
        <f t="array" ref="C6">INDEX(Risk_Calc!$I$5:$I$7,MATCH(C5,Risk_Calc!$A$5:$A$7,0))</f>
        <v>750000</v>
      </c>
      <c r="D6" s="28">
        <f t="array" ref="D6">INDEX(Risk_Calc!$I$5:$I$7,MATCH(D5,Risk_Calc!$A$5:$A$7,0))</f>
        <v>31250000</v>
      </c>
      <c r="E6" s="28">
        <f t="array" ref="E6">INDEX(Risk_Calc!$I$5:$I$7,MATCH(E5,Risk_Calc!$A$5:$A$7,0))</f>
        <v>3000000</v>
      </c>
      <c r="F6" s="38">
        <f>SUM(C6:E6)</f>
        <v>35000000</v>
      </c>
    </row>
    <row r="7">
      <c r="A7" s="9" t="s">
        <v>234</v>
      </c>
      <c r="B7" s="9" t="s">
        <v>235</v>
      </c>
      <c r="C7" s="41">
        <f>Inputs!C24</f>
        <v>0.9</v>
      </c>
      <c r="D7" s="41">
        <f>Inputs!C25</f>
        <v>0.75</v>
      </c>
      <c r="E7" s="41">
        <f>Inputs!C26</f>
        <v>0.95</v>
      </c>
      <c r="F7" s="42">
        <f>F8/F6</f>
        <v>0.7703571429</v>
      </c>
    </row>
    <row r="8">
      <c r="A8" s="43" t="s">
        <v>236</v>
      </c>
      <c r="B8" s="9" t="s">
        <v>237</v>
      </c>
      <c r="C8" s="32">
        <f t="shared" ref="C8:E8" si="1">C6*C7</f>
        <v>675000</v>
      </c>
      <c r="D8" s="32">
        <f t="shared" si="1"/>
        <v>23437500</v>
      </c>
      <c r="E8" s="32">
        <f t="shared" si="1"/>
        <v>2850000</v>
      </c>
      <c r="F8" s="38">
        <f t="shared" ref="F8:F13" si="3">SUM(C8:E8)</f>
        <v>26962500</v>
      </c>
    </row>
    <row r="9">
      <c r="A9" s="43" t="s">
        <v>238</v>
      </c>
      <c r="B9" s="9" t="s">
        <v>239</v>
      </c>
      <c r="C9" s="32">
        <f t="shared" ref="C9:E9" si="2">C6-C8</f>
        <v>75000</v>
      </c>
      <c r="D9" s="32">
        <f t="shared" si="2"/>
        <v>7812500</v>
      </c>
      <c r="E9" s="32">
        <f t="shared" si="2"/>
        <v>150000</v>
      </c>
      <c r="F9" s="38">
        <f t="shared" si="3"/>
        <v>8037500</v>
      </c>
    </row>
    <row r="10">
      <c r="A10" s="9" t="s">
        <v>240</v>
      </c>
      <c r="B10" s="9" t="s">
        <v>235</v>
      </c>
      <c r="C10" s="28">
        <f>Inputs!B24</f>
        <v>350000</v>
      </c>
      <c r="D10" s="28">
        <f>Inputs!B25</f>
        <v>150000</v>
      </c>
      <c r="E10" s="28">
        <f>Inputs!B26</f>
        <v>200000</v>
      </c>
      <c r="F10" s="38">
        <f t="shared" si="3"/>
        <v>700000</v>
      </c>
    </row>
    <row r="11">
      <c r="A11" s="9" t="s">
        <v>241</v>
      </c>
      <c r="B11" s="9" t="s">
        <v>235</v>
      </c>
      <c r="C11" s="28">
        <f>Inputs!D24</f>
        <v>50000</v>
      </c>
      <c r="D11" s="28">
        <f>Inputs!D25</f>
        <v>25000</v>
      </c>
      <c r="E11" s="28">
        <f>Inputs!D26</f>
        <v>30000</v>
      </c>
      <c r="F11" s="38">
        <f t="shared" si="3"/>
        <v>105000</v>
      </c>
    </row>
    <row r="12">
      <c r="A12" s="9" t="s">
        <v>242</v>
      </c>
      <c r="B12" s="9" t="s">
        <v>243</v>
      </c>
      <c r="C12" s="17">
        <f t="shared" ref="C12:E12" si="4">C10+C11</f>
        <v>400000</v>
      </c>
      <c r="D12" s="17">
        <f t="shared" si="4"/>
        <v>175000</v>
      </c>
      <c r="E12" s="17">
        <f t="shared" si="4"/>
        <v>230000</v>
      </c>
      <c r="F12" s="38">
        <f t="shared" si="3"/>
        <v>805000</v>
      </c>
    </row>
    <row r="13">
      <c r="A13" s="9" t="s">
        <v>244</v>
      </c>
      <c r="B13" s="9" t="s">
        <v>245</v>
      </c>
      <c r="C13" s="17">
        <f t="shared" ref="C13:E13" si="5">C8-C12</f>
        <v>275000</v>
      </c>
      <c r="D13" s="17">
        <f t="shared" si="5"/>
        <v>23262500</v>
      </c>
      <c r="E13" s="17">
        <f t="shared" si="5"/>
        <v>2620000</v>
      </c>
      <c r="F13" s="38">
        <f t="shared" si="3"/>
        <v>26157500</v>
      </c>
    </row>
    <row r="14">
      <c r="A14" s="43" t="s">
        <v>246</v>
      </c>
      <c r="B14" s="9" t="s">
        <v>247</v>
      </c>
      <c r="C14" s="47">
        <f t="shared" ref="C14:F14" si="6">C13/C12</f>
        <v>0.6875</v>
      </c>
      <c r="D14" s="47">
        <f t="shared" si="6"/>
        <v>132.9285714</v>
      </c>
      <c r="E14" s="47">
        <f t="shared" si="6"/>
        <v>11.39130435</v>
      </c>
      <c r="F14" s="48">
        <f t="shared" si="6"/>
        <v>32.49378882</v>
      </c>
    </row>
    <row r="15">
      <c r="A15" s="9" t="s">
        <v>248</v>
      </c>
      <c r="B15" s="9" t="s">
        <v>249</v>
      </c>
      <c r="C15" s="17">
        <f>C10+C11*Inputs!$B$28</f>
        <v>500000</v>
      </c>
      <c r="D15" s="17">
        <f>D10+D11*Inputs!$B$28</f>
        <v>225000</v>
      </c>
      <c r="E15" s="17">
        <f>E10+E11*Inputs!$B$28</f>
        <v>290000</v>
      </c>
      <c r="F15" s="38">
        <f t="shared" ref="F15:F17" si="7">SUM(C15:E15)</f>
        <v>1015000</v>
      </c>
    </row>
    <row r="16">
      <c r="A16" s="9" t="s">
        <v>250</v>
      </c>
      <c r="B16" s="9" t="s">
        <v>251</v>
      </c>
      <c r="C16" s="17">
        <f>C8*Inputs!$B$28</f>
        <v>2025000</v>
      </c>
      <c r="D16" s="17">
        <f>D8*Inputs!$B$28</f>
        <v>70312500</v>
      </c>
      <c r="E16" s="17">
        <f>E8*Inputs!$B$28</f>
        <v>8550000</v>
      </c>
      <c r="F16" s="38">
        <f t="shared" si="7"/>
        <v>80887500</v>
      </c>
    </row>
    <row r="17">
      <c r="A17" s="9" t="s">
        <v>252</v>
      </c>
      <c r="B17" s="9" t="s">
        <v>253</v>
      </c>
      <c r="C17" s="17">
        <f t="shared" ref="C17:E17" si="8">C16-C15</f>
        <v>1525000</v>
      </c>
      <c r="D17" s="17">
        <f t="shared" si="8"/>
        <v>70087500</v>
      </c>
      <c r="E17" s="17">
        <f t="shared" si="8"/>
        <v>8260000</v>
      </c>
      <c r="F17" s="38">
        <f t="shared" si="7"/>
        <v>79872500</v>
      </c>
    </row>
    <row r="18">
      <c r="A18" s="43" t="s">
        <v>254</v>
      </c>
      <c r="B18" s="9" t="s">
        <v>255</v>
      </c>
      <c r="C18" s="47">
        <f t="shared" ref="C18:F18" si="9">C17/C15</f>
        <v>3.05</v>
      </c>
      <c r="D18" s="47">
        <f t="shared" si="9"/>
        <v>311.5</v>
      </c>
      <c r="E18" s="47">
        <f t="shared" si="9"/>
        <v>28.48275862</v>
      </c>
      <c r="F18" s="48">
        <f t="shared" si="9"/>
        <v>78.69211823</v>
      </c>
    </row>
    <row r="19">
      <c r="A19" s="43" t="s">
        <v>256</v>
      </c>
      <c r="B19" s="9" t="s">
        <v>257</v>
      </c>
      <c r="C19" s="49">
        <f t="shared" ref="C19:F19" si="10">IF(C8&gt;C11,C10/(C8-C11),"n/a")</f>
        <v>0.56</v>
      </c>
      <c r="D19" s="49">
        <f t="shared" si="10"/>
        <v>0.006406833956</v>
      </c>
      <c r="E19" s="49">
        <f t="shared" si="10"/>
        <v>0.07092198582</v>
      </c>
      <c r="F19" s="50">
        <f t="shared" si="10"/>
        <v>0.0260634832</v>
      </c>
    </row>
    <row r="20">
      <c r="A20" s="9" t="s">
        <v>260</v>
      </c>
      <c r="B20" s="9" t="s">
        <v>261</v>
      </c>
      <c r="C20" s="51">
        <f t="shared" ref="C20:F20" si="11">IF(ISNUMBER(C19),C19*12,"n/a")</f>
        <v>6.72</v>
      </c>
      <c r="D20" s="51">
        <f t="shared" si="11"/>
        <v>0.07688200747</v>
      </c>
      <c r="E20" s="51">
        <f t="shared" si="11"/>
        <v>0.8510638298</v>
      </c>
      <c r="F20" s="52">
        <f t="shared" si="11"/>
        <v>0.3127617984</v>
      </c>
    </row>
    <row r="21" ht="15.75" customHeight="1">
      <c r="A21" s="9" t="s">
        <v>279</v>
      </c>
      <c r="B21" s="9" t="s">
        <v>280</v>
      </c>
      <c r="C21" s="51">
        <f t="shared" ref="C21:F21" si="12">IF(ISNUMBER(C19),C19*365,"n/a")</f>
        <v>204.4</v>
      </c>
      <c r="D21" s="51">
        <f t="shared" si="12"/>
        <v>2.338494394</v>
      </c>
      <c r="E21" s="51">
        <f t="shared" si="12"/>
        <v>25.88652482</v>
      </c>
      <c r="F21" s="52">
        <f t="shared" si="12"/>
        <v>9.513171367</v>
      </c>
    </row>
    <row r="22" ht="15.75" customHeight="1">
      <c r="A22" s="9" t="s">
        <v>281</v>
      </c>
      <c r="B22" s="9" t="s">
        <v>282</v>
      </c>
      <c r="C22" s="33">
        <f t="shared" ref="C22:E22" si="13">RANK(C8,$C$8:$E$8)</f>
        <v>3</v>
      </c>
      <c r="D22" s="33">
        <f t="shared" si="13"/>
        <v>1</v>
      </c>
      <c r="E22" s="33">
        <f t="shared" si="13"/>
        <v>2</v>
      </c>
      <c r="F22" s="36"/>
    </row>
    <row r="23" ht="15.75" customHeight="1">
      <c r="A23" s="43" t="s">
        <v>283</v>
      </c>
      <c r="B23" s="9" t="s">
        <v>284</v>
      </c>
      <c r="C23" s="26" t="str">
        <f>IF(AND(ISNUMBER(C19),C19&lt;=Inputs!$B$29,C18&gt;=Inputs!$B$30),"IMPLEMENT","DO NOT IMPLEMENT")</f>
        <v>IMPLEMENT</v>
      </c>
      <c r="D23" s="26" t="str">
        <f>IF(AND(ISNUMBER(D19),D19&lt;=Inputs!$B$29,D18&gt;=Inputs!$B$30),"IMPLEMENT","DO NOT IMPLEMENT")</f>
        <v>IMPLEMENT</v>
      </c>
      <c r="E23" s="26" t="str">
        <f>IF(AND(ISNUMBER(E19),E19&lt;=Inputs!$B$29,E18&gt;=Inputs!$B$30),"IMPLEMENT","DO NOT IMPLEMENT")</f>
        <v>IMPLEMENT</v>
      </c>
      <c r="F23" s="37" t="str">
        <f>IF(COUNTIF(C23:E23,"IMPLEMENT")=3,"All 3 justified","Review")</f>
        <v>All 3 justified</v>
      </c>
    </row>
    <row r="24" ht="15.75" customHeight="1">
      <c r="A24" s="9" t="s">
        <v>285</v>
      </c>
      <c r="B24" s="9" t="s">
        <v>286</v>
      </c>
      <c r="C24" s="53">
        <f>Inputs!F24</f>
        <v>3</v>
      </c>
      <c r="D24" s="53">
        <f>Inputs!F25</f>
        <v>1</v>
      </c>
      <c r="E24" s="53">
        <f>Inputs!F26</f>
        <v>3</v>
      </c>
      <c r="F24" s="36"/>
    </row>
    <row r="25" ht="15.75" customHeight="1"/>
    <row r="26" ht="15.75" customHeight="1">
      <c r="A26" s="11" t="s">
        <v>287</v>
      </c>
    </row>
    <row r="27" ht="51.75" customHeight="1">
      <c r="A27" s="4" t="s">
        <v>288</v>
      </c>
      <c r="B27" s="6"/>
      <c r="C27" s="9" t="str">
        <f t="shared" ref="C27:E27" si="14">"$"&amp;TEXT(C6,"#,##0")&amp;" × "&amp;TEXT(C7,"0%")&amp;" = $"&amp;TEXT(C8,"#,##0")</f>
        <v>$750,000 × 90% = $675,000</v>
      </c>
      <c r="D27" s="9" t="str">
        <f t="shared" si="14"/>
        <v>$31,250,000 × 75% = $23,437,500</v>
      </c>
      <c r="E27" s="9" t="str">
        <f t="shared" si="14"/>
        <v>$3,000,000 × 95% = $2,850,000</v>
      </c>
    </row>
    <row r="28" ht="51.75" customHeight="1">
      <c r="A28" s="4" t="s">
        <v>290</v>
      </c>
      <c r="B28" s="6"/>
      <c r="C28" s="9" t="str">
        <f t="shared" ref="C28:E28" si="15">"($"&amp;TEXT(C8,"#,##0")&amp;" − $"&amp;TEXT(C12,"#,##0")&amp;") ÷ $"&amp;TEXT(C12,"#,##0")&amp;" = "&amp;TEXT(C14,"#,##0.0%")</f>
        <v>($675,000 − $400,000) ÷ $400,000 = 68.8%</v>
      </c>
      <c r="D28" s="9" t="str">
        <f t="shared" si="15"/>
        <v>($23,437,500 − $175,000) ÷ $175,000 = 13,292.9%</v>
      </c>
      <c r="E28" s="9" t="str">
        <f t="shared" si="15"/>
        <v>($2,850,000 − $230,000) ÷ $230,000 = 1,139.1%</v>
      </c>
    </row>
    <row r="29" ht="51.75" customHeight="1">
      <c r="A29" s="4" t="s">
        <v>291</v>
      </c>
      <c r="B29" s="6"/>
      <c r="C29" s="9" t="str">
        <f t="shared" ref="C29:E29" si="16">"($"&amp;TEXT(C16,"#,##0")&amp;" − $"&amp;TEXT(C15,"#,##0")&amp;") ÷ $"&amp;TEXT(C15,"#,##0")&amp;" = "&amp;TEXT(C18,"#,##0.0%")</f>
        <v>($2,025,000 − $500,000) ÷ $500,000 = 305.0%</v>
      </c>
      <c r="D29" s="9" t="str">
        <f t="shared" si="16"/>
        <v>($70,312,500 − $225,000) ÷ $225,000 = 31,150.0%</v>
      </c>
      <c r="E29" s="9" t="str">
        <f t="shared" si="16"/>
        <v>($8,550,000 − $290,000) ÷ $290,000 = 2,848.3%</v>
      </c>
    </row>
    <row r="30" ht="51.75" customHeight="1">
      <c r="A30" s="4" t="s">
        <v>299</v>
      </c>
      <c r="B30" s="6"/>
      <c r="C30" s="9" t="str">
        <f t="shared" ref="C30:E30" si="17">"$"&amp;TEXT(C10,"#,##0")&amp;" ÷ ($"&amp;TEXT(C8,"#,##0")&amp;" − $"&amp;TEXT(C11,"#,##0")&amp;") = "&amp;TEXT(C19,"0.000")&amp;" years = "&amp;TEXT(C21,"0.0")&amp;" days"</f>
        <v>$350,000 ÷ ($675,000 − $50,000) = 0.560 years = 204.4 days</v>
      </c>
      <c r="D30" s="9" t="str">
        <f t="shared" si="17"/>
        <v>$150,000 ÷ ($23,437,500 − $25,000) = 0.006 years = 2.3 days</v>
      </c>
      <c r="E30" s="9" t="str">
        <f t="shared" si="17"/>
        <v>$200,000 ÷ ($2,850,000 − $30,000) = 0.071 years = 25.9 days</v>
      </c>
    </row>
    <row r="31" ht="15.75" customHeight="1"/>
    <row r="32" ht="15.75" customHeight="1">
      <c r="A32" s="3" t="s">
        <v>300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">
    <cfRule type="expression" dxfId="3" priority="1">
      <formula>C23="IMPLEMENT"</formula>
    </cfRule>
  </conditionalFormatting>
  <conditionalFormatting sqref="C23">
    <cfRule type="expression" dxfId="0" priority="2">
      <formula>C23="DO NOT IMPLEMENT"</formula>
    </cfRule>
  </conditionalFormatting>
  <conditionalFormatting sqref="D23">
    <cfRule type="expression" dxfId="3" priority="3">
      <formula>D23="IMPLEMENT"</formula>
    </cfRule>
  </conditionalFormatting>
  <conditionalFormatting sqref="D23">
    <cfRule type="expression" dxfId="0" priority="4">
      <formula>D23="DO NOT IMPLEMENT"</formula>
    </cfRule>
  </conditionalFormatting>
  <conditionalFormatting sqref="E23">
    <cfRule type="expression" dxfId="3" priority="5">
      <formula>E23="IMPLEMENT"</formula>
    </cfRule>
  </conditionalFormatting>
  <conditionalFormatting sqref="E23">
    <cfRule type="expression" dxfId="0" priority="6">
      <formula>E23="DO NOT IMPLEMENT"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2.0"/>
    <col customWidth="1" min="2" max="15" width="17.0"/>
    <col customWidth="1" min="16" max="26" width="8.71"/>
  </cols>
  <sheetData>
    <row r="1">
      <c r="A1" s="2" t="s">
        <v>262</v>
      </c>
    </row>
    <row r="2">
      <c r="A2" s="3" t="s">
        <v>263</v>
      </c>
    </row>
    <row r="4" ht="57.75" customHeight="1">
      <c r="A4" s="5" t="s">
        <v>264</v>
      </c>
      <c r="B4" s="5" t="s">
        <v>265</v>
      </c>
      <c r="C4" s="5" t="s">
        <v>266</v>
      </c>
      <c r="D4" s="5" t="s">
        <v>267</v>
      </c>
      <c r="E4" s="5" t="s">
        <v>268</v>
      </c>
      <c r="F4" s="5" t="s">
        <v>269</v>
      </c>
      <c r="G4" s="5" t="s">
        <v>270</v>
      </c>
      <c r="H4" s="5" t="s">
        <v>271</v>
      </c>
      <c r="I4" s="5" t="s">
        <v>272</v>
      </c>
      <c r="J4" s="5" t="s">
        <v>273</v>
      </c>
      <c r="K4" s="5" t="s">
        <v>274</v>
      </c>
      <c r="L4" s="5" t="s">
        <v>275</v>
      </c>
      <c r="M4" s="5" t="s">
        <v>276</v>
      </c>
      <c r="N4" s="5" t="s">
        <v>277</v>
      </c>
      <c r="O4" s="5" t="s">
        <v>278</v>
      </c>
    </row>
    <row r="5">
      <c r="A5" s="33">
        <v>0.0</v>
      </c>
      <c r="B5" s="53">
        <f>IF($A5&gt;Inputs!$F$24,1,0)</f>
        <v>0</v>
      </c>
      <c r="C5" s="53">
        <f>IF($A5&gt;Inputs!$F$25,1,0)</f>
        <v>0</v>
      </c>
      <c r="D5" s="53">
        <f>IF($A5&gt;Inputs!$F$26,1,0)</f>
        <v>0</v>
      </c>
      <c r="E5" s="17">
        <v>0.0</v>
      </c>
      <c r="F5" s="17">
        <v>0.0</v>
      </c>
      <c r="G5" s="17">
        <v>0.0</v>
      </c>
      <c r="H5" s="17">
        <v>0.0</v>
      </c>
      <c r="I5" s="17">
        <v>0.0</v>
      </c>
      <c r="J5" s="17">
        <v>0.0</v>
      </c>
      <c r="K5" s="17">
        <v>0.0</v>
      </c>
      <c r="L5" s="17">
        <f t="shared" ref="L5:L17" si="2">J5-K5</f>
        <v>0</v>
      </c>
      <c r="M5" s="17">
        <v>0.0</v>
      </c>
      <c r="N5" s="17">
        <v>0.0</v>
      </c>
      <c r="O5" s="17">
        <f t="shared" ref="O5:O17" si="3">L5-N5</f>
        <v>0</v>
      </c>
    </row>
    <row r="6">
      <c r="A6" s="33">
        <v>1.0</v>
      </c>
      <c r="B6" s="53">
        <f>IF($A6&gt;Inputs!$F$24,1,0)</f>
        <v>0</v>
      </c>
      <c r="C6" s="53">
        <f>IF($A6&gt;Inputs!$F$25,1,0)</f>
        <v>0</v>
      </c>
      <c r="D6" s="53">
        <f>IF($A6&gt;Inputs!$F$26,1,0)</f>
        <v>0</v>
      </c>
      <c r="E6" s="28">
        <f>Risk_Calc!$I$5/12</f>
        <v>62500</v>
      </c>
      <c r="F6" s="28">
        <f>Risk_Calc!$I$6/12</f>
        <v>2604166.667</v>
      </c>
      <c r="G6" s="28">
        <f>Risk_Calc!$I$7/12</f>
        <v>250000</v>
      </c>
      <c r="H6" s="17">
        <f t="shared" ref="H6:H17" si="4">SUM(E6:G6)</f>
        <v>2916666.667</v>
      </c>
      <c r="I6" s="28">
        <f>E6*(1-Inputs!$C$24*B6)+F6*(1-Inputs!$C$25*C6)+G6*(1-Inputs!$C$26*D6)</f>
        <v>2916666.667</v>
      </c>
      <c r="J6" s="17">
        <f t="shared" ref="J6:K6" si="1">J5+H6</f>
        <v>2916666.667</v>
      </c>
      <c r="K6" s="17">
        <f t="shared" si="1"/>
        <v>2916666.667</v>
      </c>
      <c r="L6" s="17">
        <f t="shared" si="2"/>
        <v>0</v>
      </c>
      <c r="M6" s="28">
        <f>IF($A6=Inputs!$F$24,Inputs!$B$24,0)+IF($A6&gt;Inputs!$F$24,Inputs!$D$24/12,0)+IF($A6=Inputs!$F$25,Inputs!$B$25,0)+IF($A6&gt;Inputs!$F$25,Inputs!$D$25/12,0)+IF($A6=Inputs!$F$26,Inputs!$B$26,0)+IF($A6&gt;Inputs!$F$26,Inputs!$D$26/12,0)</f>
        <v>150000</v>
      </c>
      <c r="N6" s="17">
        <f t="shared" ref="N6:N17" si="6">N5+M6</f>
        <v>150000</v>
      </c>
      <c r="O6" s="17">
        <f t="shared" si="3"/>
        <v>-150000</v>
      </c>
    </row>
    <row r="7">
      <c r="A7" s="33">
        <v>2.0</v>
      </c>
      <c r="B7" s="53">
        <f>IF($A7&gt;Inputs!$F$24,1,0)</f>
        <v>0</v>
      </c>
      <c r="C7" s="53">
        <f>IF($A7&gt;Inputs!$F$25,1,0)</f>
        <v>1</v>
      </c>
      <c r="D7" s="53">
        <f>IF($A7&gt;Inputs!$F$26,1,0)</f>
        <v>0</v>
      </c>
      <c r="E7" s="28">
        <f>Risk_Calc!$I$5/12</f>
        <v>62500</v>
      </c>
      <c r="F7" s="28">
        <f>Risk_Calc!$I$6/12</f>
        <v>2604166.667</v>
      </c>
      <c r="G7" s="28">
        <f>Risk_Calc!$I$7/12</f>
        <v>250000</v>
      </c>
      <c r="H7" s="17">
        <f t="shared" si="4"/>
        <v>2916666.667</v>
      </c>
      <c r="I7" s="28">
        <f>E7*(1-Inputs!$C$24*B7)+F7*(1-Inputs!$C$25*C7)+G7*(1-Inputs!$C$26*D7)</f>
        <v>963541.6667</v>
      </c>
      <c r="J7" s="17">
        <f t="shared" ref="J7:K7" si="5">J6+H7</f>
        <v>5833333.333</v>
      </c>
      <c r="K7" s="17">
        <f t="shared" si="5"/>
        <v>3880208.333</v>
      </c>
      <c r="L7" s="17">
        <f t="shared" si="2"/>
        <v>1953125</v>
      </c>
      <c r="M7" s="28">
        <f>IF($A7=Inputs!$F$24,Inputs!$B$24,0)+IF($A7&gt;Inputs!$F$24,Inputs!$D$24/12,0)+IF($A7=Inputs!$F$25,Inputs!$B$25,0)+IF($A7&gt;Inputs!$F$25,Inputs!$D$25/12,0)+IF($A7=Inputs!$F$26,Inputs!$B$26,0)+IF($A7&gt;Inputs!$F$26,Inputs!$D$26/12,0)</f>
        <v>2083.333333</v>
      </c>
      <c r="N7" s="17">
        <f t="shared" si="6"/>
        <v>152083.3333</v>
      </c>
      <c r="O7" s="17">
        <f t="shared" si="3"/>
        <v>1801041.667</v>
      </c>
    </row>
    <row r="8">
      <c r="A8" s="33">
        <v>3.0</v>
      </c>
      <c r="B8" s="53">
        <f>IF($A8&gt;Inputs!$F$24,1,0)</f>
        <v>0</v>
      </c>
      <c r="C8" s="53">
        <f>IF($A8&gt;Inputs!$F$25,1,0)</f>
        <v>1</v>
      </c>
      <c r="D8" s="53">
        <f>IF($A8&gt;Inputs!$F$26,1,0)</f>
        <v>0</v>
      </c>
      <c r="E8" s="28">
        <f>Risk_Calc!$I$5/12</f>
        <v>62500</v>
      </c>
      <c r="F8" s="28">
        <f>Risk_Calc!$I$6/12</f>
        <v>2604166.667</v>
      </c>
      <c r="G8" s="28">
        <f>Risk_Calc!$I$7/12</f>
        <v>250000</v>
      </c>
      <c r="H8" s="17">
        <f t="shared" si="4"/>
        <v>2916666.667</v>
      </c>
      <c r="I8" s="28">
        <f>E8*(1-Inputs!$C$24*B8)+F8*(1-Inputs!$C$25*C8)+G8*(1-Inputs!$C$26*D8)</f>
        <v>963541.6667</v>
      </c>
      <c r="J8" s="17">
        <f t="shared" ref="J8:K8" si="7">J7+H8</f>
        <v>8750000</v>
      </c>
      <c r="K8" s="17">
        <f t="shared" si="7"/>
        <v>4843750</v>
      </c>
      <c r="L8" s="17">
        <f t="shared" si="2"/>
        <v>3906250</v>
      </c>
      <c r="M8" s="28">
        <f>IF($A8=Inputs!$F$24,Inputs!$B$24,0)+IF($A8&gt;Inputs!$F$24,Inputs!$D$24/12,0)+IF($A8=Inputs!$F$25,Inputs!$B$25,0)+IF($A8&gt;Inputs!$F$25,Inputs!$D$25/12,0)+IF($A8=Inputs!$F$26,Inputs!$B$26,0)+IF($A8&gt;Inputs!$F$26,Inputs!$D$26/12,0)</f>
        <v>552083.3333</v>
      </c>
      <c r="N8" s="17">
        <f t="shared" si="6"/>
        <v>704166.6667</v>
      </c>
      <c r="O8" s="17">
        <f t="shared" si="3"/>
        <v>3202083.333</v>
      </c>
    </row>
    <row r="9">
      <c r="A9" s="33">
        <v>4.0</v>
      </c>
      <c r="B9" s="53">
        <f>IF($A9&gt;Inputs!$F$24,1,0)</f>
        <v>1</v>
      </c>
      <c r="C9" s="53">
        <f>IF($A9&gt;Inputs!$F$25,1,0)</f>
        <v>1</v>
      </c>
      <c r="D9" s="53">
        <f>IF($A9&gt;Inputs!$F$26,1,0)</f>
        <v>1</v>
      </c>
      <c r="E9" s="28">
        <f>Risk_Calc!$I$5/12</f>
        <v>62500</v>
      </c>
      <c r="F9" s="28">
        <f>Risk_Calc!$I$6/12</f>
        <v>2604166.667</v>
      </c>
      <c r="G9" s="28">
        <f>Risk_Calc!$I$7/12</f>
        <v>250000</v>
      </c>
      <c r="H9" s="17">
        <f t="shared" si="4"/>
        <v>2916666.667</v>
      </c>
      <c r="I9" s="28">
        <f>E9*(1-Inputs!$C$24*B9)+F9*(1-Inputs!$C$25*C9)+G9*(1-Inputs!$C$26*D9)</f>
        <v>669791.6667</v>
      </c>
      <c r="J9" s="17">
        <f t="shared" ref="J9:K9" si="8">J8+H9</f>
        <v>11666666.67</v>
      </c>
      <c r="K9" s="17">
        <f t="shared" si="8"/>
        <v>5513541.667</v>
      </c>
      <c r="L9" s="17">
        <f t="shared" si="2"/>
        <v>6153125</v>
      </c>
      <c r="M9" s="28">
        <f>IF($A9=Inputs!$F$24,Inputs!$B$24,0)+IF($A9&gt;Inputs!$F$24,Inputs!$D$24/12,0)+IF($A9=Inputs!$F$25,Inputs!$B$25,0)+IF($A9&gt;Inputs!$F$25,Inputs!$D$25/12,0)+IF($A9=Inputs!$F$26,Inputs!$B$26,0)+IF($A9&gt;Inputs!$F$26,Inputs!$D$26/12,0)</f>
        <v>8750</v>
      </c>
      <c r="N9" s="17">
        <f t="shared" si="6"/>
        <v>712916.6667</v>
      </c>
      <c r="O9" s="17">
        <f t="shared" si="3"/>
        <v>5440208.333</v>
      </c>
    </row>
    <row r="10">
      <c r="A10" s="33">
        <v>5.0</v>
      </c>
      <c r="B10" s="53">
        <f>IF($A10&gt;Inputs!$F$24,1,0)</f>
        <v>1</v>
      </c>
      <c r="C10" s="53">
        <f>IF($A10&gt;Inputs!$F$25,1,0)</f>
        <v>1</v>
      </c>
      <c r="D10" s="53">
        <f>IF($A10&gt;Inputs!$F$26,1,0)</f>
        <v>1</v>
      </c>
      <c r="E10" s="28">
        <f>Risk_Calc!$I$5/12</f>
        <v>62500</v>
      </c>
      <c r="F10" s="28">
        <f>Risk_Calc!$I$6/12</f>
        <v>2604166.667</v>
      </c>
      <c r="G10" s="28">
        <f>Risk_Calc!$I$7/12</f>
        <v>250000</v>
      </c>
      <c r="H10" s="17">
        <f t="shared" si="4"/>
        <v>2916666.667</v>
      </c>
      <c r="I10" s="28">
        <f>E10*(1-Inputs!$C$24*B10)+F10*(1-Inputs!$C$25*C10)+G10*(1-Inputs!$C$26*D10)</f>
        <v>669791.6667</v>
      </c>
      <c r="J10" s="17">
        <f t="shared" ref="J10:K10" si="9">J9+H10</f>
        <v>14583333.33</v>
      </c>
      <c r="K10" s="17">
        <f t="shared" si="9"/>
        <v>6183333.333</v>
      </c>
      <c r="L10" s="17">
        <f t="shared" si="2"/>
        <v>8400000</v>
      </c>
      <c r="M10" s="28">
        <f>IF($A10=Inputs!$F$24,Inputs!$B$24,0)+IF($A10&gt;Inputs!$F$24,Inputs!$D$24/12,0)+IF($A10=Inputs!$F$25,Inputs!$B$25,0)+IF($A10&gt;Inputs!$F$25,Inputs!$D$25/12,0)+IF($A10=Inputs!$F$26,Inputs!$B$26,0)+IF($A10&gt;Inputs!$F$26,Inputs!$D$26/12,0)</f>
        <v>8750</v>
      </c>
      <c r="N10" s="17">
        <f t="shared" si="6"/>
        <v>721666.6667</v>
      </c>
      <c r="O10" s="17">
        <f t="shared" si="3"/>
        <v>7678333.333</v>
      </c>
    </row>
    <row r="11">
      <c r="A11" s="33">
        <v>6.0</v>
      </c>
      <c r="B11" s="53">
        <f>IF($A11&gt;Inputs!$F$24,1,0)</f>
        <v>1</v>
      </c>
      <c r="C11" s="53">
        <f>IF($A11&gt;Inputs!$F$25,1,0)</f>
        <v>1</v>
      </c>
      <c r="D11" s="53">
        <f>IF($A11&gt;Inputs!$F$26,1,0)</f>
        <v>1</v>
      </c>
      <c r="E11" s="28">
        <f>Risk_Calc!$I$5/12</f>
        <v>62500</v>
      </c>
      <c r="F11" s="28">
        <f>Risk_Calc!$I$6/12</f>
        <v>2604166.667</v>
      </c>
      <c r="G11" s="28">
        <f>Risk_Calc!$I$7/12</f>
        <v>250000</v>
      </c>
      <c r="H11" s="17">
        <f t="shared" si="4"/>
        <v>2916666.667</v>
      </c>
      <c r="I11" s="28">
        <f>E11*(1-Inputs!$C$24*B11)+F11*(1-Inputs!$C$25*C11)+G11*(1-Inputs!$C$26*D11)</f>
        <v>669791.6667</v>
      </c>
      <c r="J11" s="17">
        <f t="shared" ref="J11:K11" si="10">J10+H11</f>
        <v>17500000</v>
      </c>
      <c r="K11" s="17">
        <f t="shared" si="10"/>
        <v>6853125</v>
      </c>
      <c r="L11" s="17">
        <f t="shared" si="2"/>
        <v>10646875</v>
      </c>
      <c r="M11" s="28">
        <f>IF($A11=Inputs!$F$24,Inputs!$B$24,0)+IF($A11&gt;Inputs!$F$24,Inputs!$D$24/12,0)+IF($A11=Inputs!$F$25,Inputs!$B$25,0)+IF($A11&gt;Inputs!$F$25,Inputs!$D$25/12,0)+IF($A11=Inputs!$F$26,Inputs!$B$26,0)+IF($A11&gt;Inputs!$F$26,Inputs!$D$26/12,0)</f>
        <v>8750</v>
      </c>
      <c r="N11" s="17">
        <f t="shared" si="6"/>
        <v>730416.6667</v>
      </c>
      <c r="O11" s="17">
        <f t="shared" si="3"/>
        <v>9916458.333</v>
      </c>
    </row>
    <row r="12">
      <c r="A12" s="33">
        <v>7.0</v>
      </c>
      <c r="B12" s="53">
        <f>IF($A12&gt;Inputs!$F$24,1,0)</f>
        <v>1</v>
      </c>
      <c r="C12" s="53">
        <f>IF($A12&gt;Inputs!$F$25,1,0)</f>
        <v>1</v>
      </c>
      <c r="D12" s="53">
        <f>IF($A12&gt;Inputs!$F$26,1,0)</f>
        <v>1</v>
      </c>
      <c r="E12" s="28">
        <f>Risk_Calc!$I$5/12</f>
        <v>62500</v>
      </c>
      <c r="F12" s="28">
        <f>Risk_Calc!$I$6/12</f>
        <v>2604166.667</v>
      </c>
      <c r="G12" s="28">
        <f>Risk_Calc!$I$7/12</f>
        <v>250000</v>
      </c>
      <c r="H12" s="17">
        <f t="shared" si="4"/>
        <v>2916666.667</v>
      </c>
      <c r="I12" s="28">
        <f>E12*(1-Inputs!$C$24*B12)+F12*(1-Inputs!$C$25*C12)+G12*(1-Inputs!$C$26*D12)</f>
        <v>669791.6667</v>
      </c>
      <c r="J12" s="17">
        <f t="shared" ref="J12:K12" si="11">J11+H12</f>
        <v>20416666.67</v>
      </c>
      <c r="K12" s="17">
        <f t="shared" si="11"/>
        <v>7522916.667</v>
      </c>
      <c r="L12" s="17">
        <f t="shared" si="2"/>
        <v>12893750</v>
      </c>
      <c r="M12" s="28">
        <f>IF($A12=Inputs!$F$24,Inputs!$B$24,0)+IF($A12&gt;Inputs!$F$24,Inputs!$D$24/12,0)+IF($A12=Inputs!$F$25,Inputs!$B$25,0)+IF($A12&gt;Inputs!$F$25,Inputs!$D$25/12,0)+IF($A12=Inputs!$F$26,Inputs!$B$26,0)+IF($A12&gt;Inputs!$F$26,Inputs!$D$26/12,0)</f>
        <v>8750</v>
      </c>
      <c r="N12" s="17">
        <f t="shared" si="6"/>
        <v>739166.6667</v>
      </c>
      <c r="O12" s="17">
        <f t="shared" si="3"/>
        <v>12154583.33</v>
      </c>
    </row>
    <row r="13">
      <c r="A13" s="33">
        <v>8.0</v>
      </c>
      <c r="B13" s="53">
        <f>IF($A13&gt;Inputs!$F$24,1,0)</f>
        <v>1</v>
      </c>
      <c r="C13" s="53">
        <f>IF($A13&gt;Inputs!$F$25,1,0)</f>
        <v>1</v>
      </c>
      <c r="D13" s="53">
        <f>IF($A13&gt;Inputs!$F$26,1,0)</f>
        <v>1</v>
      </c>
      <c r="E13" s="28">
        <f>Risk_Calc!$I$5/12</f>
        <v>62500</v>
      </c>
      <c r="F13" s="28">
        <f>Risk_Calc!$I$6/12</f>
        <v>2604166.667</v>
      </c>
      <c r="G13" s="28">
        <f>Risk_Calc!$I$7/12</f>
        <v>250000</v>
      </c>
      <c r="H13" s="17">
        <f t="shared" si="4"/>
        <v>2916666.667</v>
      </c>
      <c r="I13" s="28">
        <f>E13*(1-Inputs!$C$24*B13)+F13*(1-Inputs!$C$25*C13)+G13*(1-Inputs!$C$26*D13)</f>
        <v>669791.6667</v>
      </c>
      <c r="J13" s="17">
        <f t="shared" ref="J13:K13" si="12">J12+H13</f>
        <v>23333333.33</v>
      </c>
      <c r="K13" s="17">
        <f t="shared" si="12"/>
        <v>8192708.333</v>
      </c>
      <c r="L13" s="17">
        <f t="shared" si="2"/>
        <v>15140625</v>
      </c>
      <c r="M13" s="28">
        <f>IF($A13=Inputs!$F$24,Inputs!$B$24,0)+IF($A13&gt;Inputs!$F$24,Inputs!$D$24/12,0)+IF($A13=Inputs!$F$25,Inputs!$B$25,0)+IF($A13&gt;Inputs!$F$25,Inputs!$D$25/12,0)+IF($A13=Inputs!$F$26,Inputs!$B$26,0)+IF($A13&gt;Inputs!$F$26,Inputs!$D$26/12,0)</f>
        <v>8750</v>
      </c>
      <c r="N13" s="17">
        <f t="shared" si="6"/>
        <v>747916.6667</v>
      </c>
      <c r="O13" s="17">
        <f t="shared" si="3"/>
        <v>14392708.33</v>
      </c>
    </row>
    <row r="14">
      <c r="A14" s="33">
        <v>9.0</v>
      </c>
      <c r="B14" s="53">
        <f>IF($A14&gt;Inputs!$F$24,1,0)</f>
        <v>1</v>
      </c>
      <c r="C14" s="53">
        <f>IF($A14&gt;Inputs!$F$25,1,0)</f>
        <v>1</v>
      </c>
      <c r="D14" s="53">
        <f>IF($A14&gt;Inputs!$F$26,1,0)</f>
        <v>1</v>
      </c>
      <c r="E14" s="28">
        <f>Risk_Calc!$I$5/12</f>
        <v>62500</v>
      </c>
      <c r="F14" s="28">
        <f>Risk_Calc!$I$6/12</f>
        <v>2604166.667</v>
      </c>
      <c r="G14" s="28">
        <f>Risk_Calc!$I$7/12</f>
        <v>250000</v>
      </c>
      <c r="H14" s="17">
        <f t="shared" si="4"/>
        <v>2916666.667</v>
      </c>
      <c r="I14" s="28">
        <f>E14*(1-Inputs!$C$24*B14)+F14*(1-Inputs!$C$25*C14)+G14*(1-Inputs!$C$26*D14)</f>
        <v>669791.6667</v>
      </c>
      <c r="J14" s="17">
        <f t="shared" ref="J14:K14" si="13">J13+H14</f>
        <v>26250000</v>
      </c>
      <c r="K14" s="17">
        <f t="shared" si="13"/>
        <v>8862500</v>
      </c>
      <c r="L14" s="17">
        <f t="shared" si="2"/>
        <v>17387500</v>
      </c>
      <c r="M14" s="28">
        <f>IF($A14=Inputs!$F$24,Inputs!$B$24,0)+IF($A14&gt;Inputs!$F$24,Inputs!$D$24/12,0)+IF($A14=Inputs!$F$25,Inputs!$B$25,0)+IF($A14&gt;Inputs!$F$25,Inputs!$D$25/12,0)+IF($A14=Inputs!$F$26,Inputs!$B$26,0)+IF($A14&gt;Inputs!$F$26,Inputs!$D$26/12,0)</f>
        <v>8750</v>
      </c>
      <c r="N14" s="17">
        <f t="shared" si="6"/>
        <v>756666.6667</v>
      </c>
      <c r="O14" s="17">
        <f t="shared" si="3"/>
        <v>16630833.33</v>
      </c>
    </row>
    <row r="15">
      <c r="A15" s="33">
        <v>10.0</v>
      </c>
      <c r="B15" s="53">
        <f>IF($A15&gt;Inputs!$F$24,1,0)</f>
        <v>1</v>
      </c>
      <c r="C15" s="53">
        <f>IF($A15&gt;Inputs!$F$25,1,0)</f>
        <v>1</v>
      </c>
      <c r="D15" s="53">
        <f>IF($A15&gt;Inputs!$F$26,1,0)</f>
        <v>1</v>
      </c>
      <c r="E15" s="28">
        <f>Risk_Calc!$I$5/12</f>
        <v>62500</v>
      </c>
      <c r="F15" s="28">
        <f>Risk_Calc!$I$6/12</f>
        <v>2604166.667</v>
      </c>
      <c r="G15" s="28">
        <f>Risk_Calc!$I$7/12</f>
        <v>250000</v>
      </c>
      <c r="H15" s="17">
        <f t="shared" si="4"/>
        <v>2916666.667</v>
      </c>
      <c r="I15" s="28">
        <f>E15*(1-Inputs!$C$24*B15)+F15*(1-Inputs!$C$25*C15)+G15*(1-Inputs!$C$26*D15)</f>
        <v>669791.6667</v>
      </c>
      <c r="J15" s="17">
        <f t="shared" ref="J15:K15" si="14">J14+H15</f>
        <v>29166666.67</v>
      </c>
      <c r="K15" s="17">
        <f t="shared" si="14"/>
        <v>9532291.667</v>
      </c>
      <c r="L15" s="17">
        <f t="shared" si="2"/>
        <v>19634375</v>
      </c>
      <c r="M15" s="28">
        <f>IF($A15=Inputs!$F$24,Inputs!$B$24,0)+IF($A15&gt;Inputs!$F$24,Inputs!$D$24/12,0)+IF($A15=Inputs!$F$25,Inputs!$B$25,0)+IF($A15&gt;Inputs!$F$25,Inputs!$D$25/12,0)+IF($A15=Inputs!$F$26,Inputs!$B$26,0)+IF($A15&gt;Inputs!$F$26,Inputs!$D$26/12,0)</f>
        <v>8750</v>
      </c>
      <c r="N15" s="17">
        <f t="shared" si="6"/>
        <v>765416.6667</v>
      </c>
      <c r="O15" s="17">
        <f t="shared" si="3"/>
        <v>18868958.33</v>
      </c>
    </row>
    <row r="16">
      <c r="A16" s="33">
        <v>11.0</v>
      </c>
      <c r="B16" s="53">
        <f>IF($A16&gt;Inputs!$F$24,1,0)</f>
        <v>1</v>
      </c>
      <c r="C16" s="53">
        <f>IF($A16&gt;Inputs!$F$25,1,0)</f>
        <v>1</v>
      </c>
      <c r="D16" s="53">
        <f>IF($A16&gt;Inputs!$F$26,1,0)</f>
        <v>1</v>
      </c>
      <c r="E16" s="28">
        <f>Risk_Calc!$I$5/12</f>
        <v>62500</v>
      </c>
      <c r="F16" s="28">
        <f>Risk_Calc!$I$6/12</f>
        <v>2604166.667</v>
      </c>
      <c r="G16" s="28">
        <f>Risk_Calc!$I$7/12</f>
        <v>250000</v>
      </c>
      <c r="H16" s="17">
        <f t="shared" si="4"/>
        <v>2916666.667</v>
      </c>
      <c r="I16" s="28">
        <f>E16*(1-Inputs!$C$24*B16)+F16*(1-Inputs!$C$25*C16)+G16*(1-Inputs!$C$26*D16)</f>
        <v>669791.6667</v>
      </c>
      <c r="J16" s="17">
        <f t="shared" ref="J16:K16" si="15">J15+H16</f>
        <v>32083333.33</v>
      </c>
      <c r="K16" s="17">
        <f t="shared" si="15"/>
        <v>10202083.33</v>
      </c>
      <c r="L16" s="17">
        <f t="shared" si="2"/>
        <v>21881250</v>
      </c>
      <c r="M16" s="28">
        <f>IF($A16=Inputs!$F$24,Inputs!$B$24,0)+IF($A16&gt;Inputs!$F$24,Inputs!$D$24/12,0)+IF($A16=Inputs!$F$25,Inputs!$B$25,0)+IF($A16&gt;Inputs!$F$25,Inputs!$D$25/12,0)+IF($A16=Inputs!$F$26,Inputs!$B$26,0)+IF($A16&gt;Inputs!$F$26,Inputs!$D$26/12,0)</f>
        <v>8750</v>
      </c>
      <c r="N16" s="17">
        <f t="shared" si="6"/>
        <v>774166.6667</v>
      </c>
      <c r="O16" s="17">
        <f t="shared" si="3"/>
        <v>21107083.33</v>
      </c>
    </row>
    <row r="17">
      <c r="A17" s="33">
        <v>12.0</v>
      </c>
      <c r="B17" s="53">
        <f>IF($A17&gt;Inputs!$F$24,1,0)</f>
        <v>1</v>
      </c>
      <c r="C17" s="53">
        <f>IF($A17&gt;Inputs!$F$25,1,0)</f>
        <v>1</v>
      </c>
      <c r="D17" s="53">
        <f>IF($A17&gt;Inputs!$F$26,1,0)</f>
        <v>1</v>
      </c>
      <c r="E17" s="28">
        <f>Risk_Calc!$I$5/12</f>
        <v>62500</v>
      </c>
      <c r="F17" s="28">
        <f>Risk_Calc!$I$6/12</f>
        <v>2604166.667</v>
      </c>
      <c r="G17" s="28">
        <f>Risk_Calc!$I$7/12</f>
        <v>250000</v>
      </c>
      <c r="H17" s="17">
        <f t="shared" si="4"/>
        <v>2916666.667</v>
      </c>
      <c r="I17" s="28">
        <f>E17*(1-Inputs!$C$24*B17)+F17*(1-Inputs!$C$25*C17)+G17*(1-Inputs!$C$26*D17)</f>
        <v>669791.6667</v>
      </c>
      <c r="J17" s="17">
        <f t="shared" ref="J17:K17" si="16">J16+H17</f>
        <v>35000000</v>
      </c>
      <c r="K17" s="17">
        <f t="shared" si="16"/>
        <v>10871875</v>
      </c>
      <c r="L17" s="17">
        <f t="shared" si="2"/>
        <v>24128125</v>
      </c>
      <c r="M17" s="28">
        <f>IF($A17=Inputs!$F$24,Inputs!$B$24,0)+IF($A17&gt;Inputs!$F$24,Inputs!$D$24/12,0)+IF($A17=Inputs!$F$25,Inputs!$B$25,0)+IF($A17&gt;Inputs!$F$25,Inputs!$D$25/12,0)+IF($A17=Inputs!$F$26,Inputs!$B$26,0)+IF($A17&gt;Inputs!$F$26,Inputs!$D$26/12,0)</f>
        <v>8750</v>
      </c>
      <c r="N17" s="17">
        <f t="shared" si="6"/>
        <v>782916.6667</v>
      </c>
      <c r="O17" s="17">
        <f t="shared" si="3"/>
        <v>23345208.33</v>
      </c>
    </row>
    <row r="19">
      <c r="A19" s="11" t="s">
        <v>390</v>
      </c>
    </row>
    <row r="20">
      <c r="A20" s="6" t="s">
        <v>391</v>
      </c>
      <c r="B20" s="6"/>
      <c r="C20" s="6"/>
      <c r="D20" s="32">
        <f>J17</f>
        <v>35000000</v>
      </c>
    </row>
    <row r="21" ht="15.75" customHeight="1">
      <c r="A21" s="6" t="s">
        <v>392</v>
      </c>
      <c r="B21" s="6"/>
      <c r="C21" s="6"/>
      <c r="D21" s="32">
        <f>K17</f>
        <v>10871875</v>
      </c>
    </row>
    <row r="22" ht="15.75" customHeight="1">
      <c r="A22" s="6" t="s">
        <v>393</v>
      </c>
      <c r="B22" s="6"/>
      <c r="C22" s="6"/>
      <c r="D22" s="32">
        <f>D20-D21</f>
        <v>24128125</v>
      </c>
    </row>
    <row r="23" ht="15.75" customHeight="1">
      <c r="A23" s="6" t="s">
        <v>394</v>
      </c>
      <c r="B23" s="6"/>
      <c r="C23" s="6"/>
      <c r="D23" s="32">
        <f>N17</f>
        <v>782916.6667</v>
      </c>
    </row>
    <row r="24" ht="15.75" customHeight="1">
      <c r="A24" s="6" t="s">
        <v>395</v>
      </c>
      <c r="B24" s="6"/>
      <c r="C24" s="6"/>
      <c r="D24" s="32">
        <f>D22-D23</f>
        <v>23345208.33</v>
      </c>
    </row>
    <row r="25" ht="15.75" customHeight="1">
      <c r="A25" s="6" t="s">
        <v>396</v>
      </c>
      <c r="B25" s="6"/>
      <c r="C25" s="6"/>
      <c r="D25" s="31">
        <f>Control_Analysis!F8</f>
        <v>26962500</v>
      </c>
    </row>
    <row r="26" ht="15.75" customHeight="1"/>
    <row r="27" ht="15.75" customHeight="1">
      <c r="A27" s="3" t="s">
        <v>397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7.0" ySplit="4.0" topLeftCell="H5" activePane="bottomRight" state="frozen"/>
      <selection activeCell="H1" sqref="H1" pane="topRight"/>
      <selection activeCell="A5" sqref="A5" pane="bottomLeft"/>
      <selection activeCell="H5" sqref="H5" pane="bottomRigh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62.0"/>
    <col customWidth="1" min="4" max="4" width="10.0"/>
    <col customWidth="1" min="5" max="5" width="12.0"/>
    <col customWidth="1" min="6" max="6" width="9.0"/>
    <col customWidth="1" min="7" max="7" width="22.0"/>
    <col customWidth="1" min="8" max="32" width="3.57"/>
  </cols>
  <sheetData>
    <row r="1">
      <c r="A1" s="2" t="s">
        <v>321</v>
      </c>
    </row>
    <row r="2">
      <c r="A2" s="3" t="s">
        <v>322</v>
      </c>
    </row>
    <row r="3">
      <c r="H3" s="3" t="s">
        <v>323</v>
      </c>
    </row>
    <row r="4" ht="36.0" customHeight="1">
      <c r="A4" s="5" t="s">
        <v>312</v>
      </c>
      <c r="B4" s="5" t="s">
        <v>324</v>
      </c>
      <c r="C4" s="5" t="s">
        <v>325</v>
      </c>
      <c r="D4" s="5" t="s">
        <v>326</v>
      </c>
      <c r="E4" s="5" t="s">
        <v>327</v>
      </c>
      <c r="F4" s="5" t="s">
        <v>328</v>
      </c>
      <c r="G4" s="5" t="s">
        <v>329</v>
      </c>
      <c r="H4" s="64">
        <v>1.0</v>
      </c>
      <c r="I4" s="64">
        <f t="shared" ref="I4:AF4" si="1">H4+15</f>
        <v>16</v>
      </c>
      <c r="J4" s="64">
        <f t="shared" si="1"/>
        <v>31</v>
      </c>
      <c r="K4" s="64">
        <f t="shared" si="1"/>
        <v>46</v>
      </c>
      <c r="L4" s="64">
        <f t="shared" si="1"/>
        <v>61</v>
      </c>
      <c r="M4" s="64">
        <f t="shared" si="1"/>
        <v>76</v>
      </c>
      <c r="N4" s="64">
        <f t="shared" si="1"/>
        <v>91</v>
      </c>
      <c r="O4" s="64">
        <f t="shared" si="1"/>
        <v>106</v>
      </c>
      <c r="P4" s="64">
        <f t="shared" si="1"/>
        <v>121</v>
      </c>
      <c r="Q4" s="64">
        <f t="shared" si="1"/>
        <v>136</v>
      </c>
      <c r="R4" s="64">
        <f t="shared" si="1"/>
        <v>151</v>
      </c>
      <c r="S4" s="64">
        <f t="shared" si="1"/>
        <v>166</v>
      </c>
      <c r="T4" s="64">
        <f t="shared" si="1"/>
        <v>181</v>
      </c>
      <c r="U4" s="64">
        <f t="shared" si="1"/>
        <v>196</v>
      </c>
      <c r="V4" s="64">
        <f t="shared" si="1"/>
        <v>211</v>
      </c>
      <c r="W4" s="64">
        <f t="shared" si="1"/>
        <v>226</v>
      </c>
      <c r="X4" s="64">
        <f t="shared" si="1"/>
        <v>241</v>
      </c>
      <c r="Y4" s="64">
        <f t="shared" si="1"/>
        <v>256</v>
      </c>
      <c r="Z4" s="64">
        <f t="shared" si="1"/>
        <v>271</v>
      </c>
      <c r="AA4" s="64">
        <f t="shared" si="1"/>
        <v>286</v>
      </c>
      <c r="AB4" s="64">
        <f t="shared" si="1"/>
        <v>301</v>
      </c>
      <c r="AC4" s="64">
        <f t="shared" si="1"/>
        <v>316</v>
      </c>
      <c r="AD4" s="64">
        <f t="shared" si="1"/>
        <v>331</v>
      </c>
      <c r="AE4" s="64">
        <f t="shared" si="1"/>
        <v>346</v>
      </c>
      <c r="AF4" s="64">
        <f t="shared" si="1"/>
        <v>361</v>
      </c>
    </row>
    <row r="5" ht="30.0" customHeight="1">
      <c r="A5" s="35">
        <v>1.0</v>
      </c>
      <c r="B5" s="6" t="s">
        <v>333</v>
      </c>
      <c r="C5" s="9" t="s">
        <v>334</v>
      </c>
      <c r="D5" s="67">
        <v>1.0</v>
      </c>
      <c r="E5" s="67">
        <v>7.0</v>
      </c>
      <c r="F5" s="33">
        <f t="shared" ref="F5:F17" si="2">D5+E5-1</f>
        <v>7</v>
      </c>
      <c r="G5" s="6" t="s">
        <v>335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</row>
    <row r="6" ht="30.0" customHeight="1">
      <c r="A6" s="35">
        <v>2.0</v>
      </c>
      <c r="B6" s="6" t="s">
        <v>333</v>
      </c>
      <c r="C6" s="9" t="s">
        <v>337</v>
      </c>
      <c r="D6" s="67">
        <v>1.0</v>
      </c>
      <c r="E6" s="67">
        <v>21.0</v>
      </c>
      <c r="F6" s="33">
        <f t="shared" si="2"/>
        <v>21</v>
      </c>
      <c r="G6" s="6" t="s">
        <v>338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</row>
    <row r="7" ht="30.0" customHeight="1">
      <c r="A7" s="35">
        <v>3.0</v>
      </c>
      <c r="B7" s="6" t="s">
        <v>333</v>
      </c>
      <c r="C7" s="9" t="s">
        <v>339</v>
      </c>
      <c r="D7" s="67">
        <v>8.0</v>
      </c>
      <c r="E7" s="67">
        <v>23.0</v>
      </c>
      <c r="F7" s="33">
        <f t="shared" si="2"/>
        <v>30</v>
      </c>
      <c r="G7" s="6" t="s">
        <v>340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</row>
    <row r="8" ht="30.0" customHeight="1">
      <c r="A8" s="35">
        <v>4.0</v>
      </c>
      <c r="B8" s="6" t="s">
        <v>333</v>
      </c>
      <c r="C8" s="9" t="s">
        <v>341</v>
      </c>
      <c r="D8" s="67">
        <v>8.0</v>
      </c>
      <c r="E8" s="67">
        <v>23.0</v>
      </c>
      <c r="F8" s="33">
        <f t="shared" si="2"/>
        <v>30</v>
      </c>
      <c r="G8" s="6" t="s">
        <v>342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</row>
    <row r="9" ht="30.0" customHeight="1">
      <c r="A9" s="35">
        <v>5.0</v>
      </c>
      <c r="B9" s="6" t="s">
        <v>344</v>
      </c>
      <c r="C9" s="9" t="s">
        <v>345</v>
      </c>
      <c r="D9" s="67">
        <v>31.0</v>
      </c>
      <c r="E9" s="67">
        <v>30.0</v>
      </c>
      <c r="F9" s="33">
        <f t="shared" si="2"/>
        <v>60</v>
      </c>
      <c r="G9" s="6" t="s">
        <v>346</v>
      </c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</row>
    <row r="10" ht="30.0" customHeight="1">
      <c r="A10" s="35">
        <v>6.0</v>
      </c>
      <c r="B10" s="6" t="s">
        <v>344</v>
      </c>
      <c r="C10" s="9" t="s">
        <v>347</v>
      </c>
      <c r="D10" s="67">
        <v>61.0</v>
      </c>
      <c r="E10" s="67">
        <v>30.0</v>
      </c>
      <c r="F10" s="33">
        <f t="shared" si="2"/>
        <v>90</v>
      </c>
      <c r="G10" s="6" t="s">
        <v>348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</row>
    <row r="11" ht="30.0" customHeight="1">
      <c r="A11" s="35">
        <v>7.0</v>
      </c>
      <c r="B11" s="6" t="s">
        <v>344</v>
      </c>
      <c r="C11" s="9" t="s">
        <v>349</v>
      </c>
      <c r="D11" s="67">
        <v>31.0</v>
      </c>
      <c r="E11" s="67">
        <v>45.0</v>
      </c>
      <c r="F11" s="33">
        <f t="shared" si="2"/>
        <v>75</v>
      </c>
      <c r="G11" s="6" t="s">
        <v>350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</row>
    <row r="12" ht="30.0" customHeight="1">
      <c r="A12" s="35">
        <v>8.0</v>
      </c>
      <c r="B12" s="6" t="s">
        <v>344</v>
      </c>
      <c r="C12" s="9" t="s">
        <v>351</v>
      </c>
      <c r="D12" s="67">
        <v>76.0</v>
      </c>
      <c r="E12" s="67">
        <v>15.0</v>
      </c>
      <c r="F12" s="33">
        <f t="shared" si="2"/>
        <v>90</v>
      </c>
      <c r="G12" s="6" t="s">
        <v>353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</row>
    <row r="13" ht="30.0" customHeight="1">
      <c r="A13" s="35">
        <v>9.0</v>
      </c>
      <c r="B13" s="6" t="s">
        <v>344</v>
      </c>
      <c r="C13" s="9" t="s">
        <v>354</v>
      </c>
      <c r="D13" s="67">
        <v>80.0</v>
      </c>
      <c r="E13" s="67">
        <v>11.0</v>
      </c>
      <c r="F13" s="33">
        <f t="shared" si="2"/>
        <v>90</v>
      </c>
      <c r="G13" s="6" t="s">
        <v>355</v>
      </c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</row>
    <row r="14" ht="30.0" customHeight="1">
      <c r="A14" s="35">
        <v>10.0</v>
      </c>
      <c r="B14" s="6" t="s">
        <v>356</v>
      </c>
      <c r="C14" s="9" t="s">
        <v>357</v>
      </c>
      <c r="D14" s="67">
        <v>91.0</v>
      </c>
      <c r="E14" s="67">
        <v>150.0</v>
      </c>
      <c r="F14" s="33">
        <f t="shared" si="2"/>
        <v>240</v>
      </c>
      <c r="G14" s="6" t="s">
        <v>358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</row>
    <row r="15" ht="30.0" customHeight="1">
      <c r="A15" s="35">
        <v>11.0</v>
      </c>
      <c r="B15" s="6" t="s">
        <v>356</v>
      </c>
      <c r="C15" s="9" t="s">
        <v>359</v>
      </c>
      <c r="D15" s="67">
        <v>180.0</v>
      </c>
      <c r="E15" s="67">
        <v>30.0</v>
      </c>
      <c r="F15" s="33">
        <f t="shared" si="2"/>
        <v>209</v>
      </c>
      <c r="G15" s="6" t="s">
        <v>360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</row>
    <row r="16" ht="30.0" customHeight="1">
      <c r="A16" s="35">
        <v>12.0</v>
      </c>
      <c r="B16" s="6" t="s">
        <v>356</v>
      </c>
      <c r="C16" s="9" t="s">
        <v>362</v>
      </c>
      <c r="D16" s="67">
        <v>91.0</v>
      </c>
      <c r="E16" s="67">
        <v>275.0</v>
      </c>
      <c r="F16" s="33">
        <f t="shared" si="2"/>
        <v>365</v>
      </c>
      <c r="G16" s="6" t="s">
        <v>363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</row>
    <row r="17" ht="30.0" customHeight="1">
      <c r="A17" s="35">
        <v>13.0</v>
      </c>
      <c r="B17" s="6" t="s">
        <v>356</v>
      </c>
      <c r="C17" s="9" t="s">
        <v>364</v>
      </c>
      <c r="D17" s="67">
        <v>335.0</v>
      </c>
      <c r="E17" s="67">
        <v>31.0</v>
      </c>
      <c r="F17" s="33">
        <f t="shared" si="2"/>
        <v>365</v>
      </c>
      <c r="G17" s="6" t="s">
        <v>365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</row>
    <row r="19">
      <c r="A19" s="3" t="s">
        <v>366</v>
      </c>
    </row>
    <row r="20">
      <c r="A20" s="3" t="s">
        <v>367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5:AF17">
    <cfRule type="expression" dxfId="4" priority="1">
      <formula>AND($D5&lt;=H$4+14,$F5&gt;=H$4,LEFT($B5,1)="1")</formula>
    </cfRule>
  </conditionalFormatting>
  <conditionalFormatting sqref="H5:AF17">
    <cfRule type="expression" dxfId="5" priority="2">
      <formula>AND($D5&lt;=H$4+14,$F5&gt;=H$4,LEFT($B5,1)="2")</formula>
    </cfRule>
  </conditionalFormatting>
  <conditionalFormatting sqref="H5:AF17">
    <cfRule type="expression" dxfId="6" priority="3">
      <formula>AND($D5&lt;=H$4+14,$F5&gt;=H$4,LEFT($B5,1)="3")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24.0"/>
    <col customWidth="1" min="4" max="4" width="28.0"/>
    <col customWidth="1" min="5" max="5" width="16.0"/>
    <col customWidth="1" min="6" max="6" width="20.0"/>
    <col customWidth="1" min="7" max="7" width="24.0"/>
    <col customWidth="1" min="8" max="8" width="20.0"/>
    <col customWidth="1" min="9" max="9" width="18.0"/>
    <col customWidth="1" min="10" max="10" width="16.0"/>
    <col customWidth="1" min="11" max="26" width="8.71"/>
  </cols>
  <sheetData>
    <row r="1">
      <c r="A1" s="2" t="s">
        <v>310</v>
      </c>
    </row>
    <row r="2">
      <c r="A2" s="3" t="s">
        <v>311</v>
      </c>
    </row>
    <row r="4" ht="43.5" customHeight="1">
      <c r="A4" s="5" t="s">
        <v>312</v>
      </c>
      <c r="B4" s="5" t="s">
        <v>313</v>
      </c>
      <c r="C4" s="5" t="s">
        <v>314</v>
      </c>
      <c r="D4" s="5" t="s">
        <v>315</v>
      </c>
      <c r="E4" s="5" t="s">
        <v>316</v>
      </c>
      <c r="F4" s="5" t="s">
        <v>317</v>
      </c>
      <c r="G4" s="5" t="s">
        <v>306</v>
      </c>
      <c r="H4" s="5" t="s">
        <v>157</v>
      </c>
      <c r="I4" s="5" t="s">
        <v>318</v>
      </c>
      <c r="J4" s="5" t="s">
        <v>307</v>
      </c>
    </row>
    <row r="5">
      <c r="A5" s="35">
        <v>1.0</v>
      </c>
      <c r="B5" s="6" t="s">
        <v>319</v>
      </c>
      <c r="C5" s="62">
        <v>0.0</v>
      </c>
      <c r="D5" s="62">
        <v>0.0</v>
      </c>
      <c r="E5" s="62">
        <v>0.0</v>
      </c>
      <c r="F5" s="28">
        <f>C5*Control_Analysis!$C$10+D5*Control_Analysis!$D$10+E5*Control_Analysis!$E$10</f>
        <v>0</v>
      </c>
      <c r="G5" s="28">
        <f>C5*Control_Analysis!$C$8+D5*Control_Analysis!$D$8+E5*Control_Analysis!$E$8</f>
        <v>0</v>
      </c>
      <c r="H5" s="28">
        <f>C5*Control_Analysis!$C$11+D5*Control_Analysis!$D$11+E5*Control_Analysis!$E$11</f>
        <v>0</v>
      </c>
      <c r="I5" s="28">
        <f>Control_Analysis!$F$6-G5</f>
        <v>35000000</v>
      </c>
      <c r="J5" s="63">
        <f t="shared" ref="J5:J12" si="1">IF(F5+H5=0,0,(G5-F5-H5)/(F5+H5))</f>
        <v>0</v>
      </c>
    </row>
    <row r="6">
      <c r="A6" s="35">
        <v>2.0</v>
      </c>
      <c r="B6" s="6" t="s">
        <v>320</v>
      </c>
      <c r="C6" s="62">
        <v>1.0</v>
      </c>
      <c r="D6" s="62">
        <v>0.0</v>
      </c>
      <c r="E6" s="62">
        <v>0.0</v>
      </c>
      <c r="F6" s="28">
        <f>C6*Control_Analysis!$C$10+D6*Control_Analysis!$D$10+E6*Control_Analysis!$E$10</f>
        <v>350000</v>
      </c>
      <c r="G6" s="28">
        <f>C6*Control_Analysis!$C$8+D6*Control_Analysis!$D$8+E6*Control_Analysis!$E$8</f>
        <v>675000</v>
      </c>
      <c r="H6" s="28">
        <f>C6*Control_Analysis!$C$11+D6*Control_Analysis!$D$11+E6*Control_Analysis!$E$11</f>
        <v>50000</v>
      </c>
      <c r="I6" s="28">
        <f>Control_Analysis!$F$6-G6</f>
        <v>34325000</v>
      </c>
      <c r="J6" s="63">
        <f t="shared" si="1"/>
        <v>0.6875</v>
      </c>
    </row>
    <row r="7">
      <c r="A7" s="35">
        <v>3.0</v>
      </c>
      <c r="B7" s="6" t="s">
        <v>330</v>
      </c>
      <c r="C7" s="62">
        <v>0.0</v>
      </c>
      <c r="D7" s="62">
        <v>1.0</v>
      </c>
      <c r="E7" s="62">
        <v>0.0</v>
      </c>
      <c r="F7" s="28">
        <f>C7*Control_Analysis!$C$10+D7*Control_Analysis!$D$10+E7*Control_Analysis!$E$10</f>
        <v>150000</v>
      </c>
      <c r="G7" s="28">
        <f>C7*Control_Analysis!$C$8+D7*Control_Analysis!$D$8+E7*Control_Analysis!$E$8</f>
        <v>23437500</v>
      </c>
      <c r="H7" s="28">
        <f>C7*Control_Analysis!$C$11+D7*Control_Analysis!$D$11+E7*Control_Analysis!$E$11</f>
        <v>25000</v>
      </c>
      <c r="I7" s="28">
        <f>Control_Analysis!$F$6-G7</f>
        <v>11562500</v>
      </c>
      <c r="J7" s="63">
        <f t="shared" si="1"/>
        <v>132.9285714</v>
      </c>
    </row>
    <row r="8">
      <c r="A8" s="35">
        <v>4.0</v>
      </c>
      <c r="B8" s="6" t="s">
        <v>332</v>
      </c>
      <c r="C8" s="62">
        <v>0.0</v>
      </c>
      <c r="D8" s="62">
        <v>0.0</v>
      </c>
      <c r="E8" s="62">
        <v>1.0</v>
      </c>
      <c r="F8" s="28">
        <f>C8*Control_Analysis!$C$10+D8*Control_Analysis!$D$10+E8*Control_Analysis!$E$10</f>
        <v>200000</v>
      </c>
      <c r="G8" s="28">
        <f>C8*Control_Analysis!$C$8+D8*Control_Analysis!$D$8+E8*Control_Analysis!$E$8</f>
        <v>2850000</v>
      </c>
      <c r="H8" s="28">
        <f>C8*Control_Analysis!$C$11+D8*Control_Analysis!$D$11+E8*Control_Analysis!$E$11</f>
        <v>30000</v>
      </c>
      <c r="I8" s="28">
        <f>Control_Analysis!$F$6-G8</f>
        <v>32150000</v>
      </c>
      <c r="J8" s="63">
        <f t="shared" si="1"/>
        <v>11.39130435</v>
      </c>
    </row>
    <row r="9">
      <c r="A9" s="35">
        <v>5.0</v>
      </c>
      <c r="B9" s="6" t="s">
        <v>336</v>
      </c>
      <c r="C9" s="62">
        <v>1.0</v>
      </c>
      <c r="D9" s="62">
        <v>1.0</v>
      </c>
      <c r="E9" s="62">
        <v>0.0</v>
      </c>
      <c r="F9" s="28">
        <f>C9*Control_Analysis!$C$10+D9*Control_Analysis!$D$10+E9*Control_Analysis!$E$10</f>
        <v>500000</v>
      </c>
      <c r="G9" s="28">
        <f>C9*Control_Analysis!$C$8+D9*Control_Analysis!$D$8+E9*Control_Analysis!$E$8</f>
        <v>24112500</v>
      </c>
      <c r="H9" s="28">
        <f>C9*Control_Analysis!$C$11+D9*Control_Analysis!$D$11+E9*Control_Analysis!$E$11</f>
        <v>75000</v>
      </c>
      <c r="I9" s="28">
        <f>Control_Analysis!$F$6-G9</f>
        <v>10887500</v>
      </c>
      <c r="J9" s="63">
        <f t="shared" si="1"/>
        <v>40.93478261</v>
      </c>
    </row>
    <row r="10">
      <c r="A10" s="35">
        <v>6.0</v>
      </c>
      <c r="B10" s="6" t="s">
        <v>343</v>
      </c>
      <c r="C10" s="62">
        <v>1.0</v>
      </c>
      <c r="D10" s="62">
        <v>0.0</v>
      </c>
      <c r="E10" s="62">
        <v>1.0</v>
      </c>
      <c r="F10" s="28">
        <f>C10*Control_Analysis!$C$10+D10*Control_Analysis!$D$10+E10*Control_Analysis!$E$10</f>
        <v>550000</v>
      </c>
      <c r="G10" s="28">
        <f>C10*Control_Analysis!$C$8+D10*Control_Analysis!$D$8+E10*Control_Analysis!$E$8</f>
        <v>3525000</v>
      </c>
      <c r="H10" s="28">
        <f>C10*Control_Analysis!$C$11+D10*Control_Analysis!$D$11+E10*Control_Analysis!$E$11</f>
        <v>80000</v>
      </c>
      <c r="I10" s="28">
        <f>Control_Analysis!$F$6-G10</f>
        <v>31475000</v>
      </c>
      <c r="J10" s="63">
        <f t="shared" si="1"/>
        <v>4.595238095</v>
      </c>
    </row>
    <row r="11">
      <c r="A11" s="35">
        <v>7.0</v>
      </c>
      <c r="B11" s="6" t="s">
        <v>352</v>
      </c>
      <c r="C11" s="62">
        <v>0.0</v>
      </c>
      <c r="D11" s="62">
        <v>1.0</v>
      </c>
      <c r="E11" s="62">
        <v>1.0</v>
      </c>
      <c r="F11" s="28">
        <f>C11*Control_Analysis!$C$10+D11*Control_Analysis!$D$10+E11*Control_Analysis!$E$10</f>
        <v>350000</v>
      </c>
      <c r="G11" s="28">
        <f>C11*Control_Analysis!$C$8+D11*Control_Analysis!$D$8+E11*Control_Analysis!$E$8</f>
        <v>26287500</v>
      </c>
      <c r="H11" s="28">
        <f>C11*Control_Analysis!$C$11+D11*Control_Analysis!$D$11+E11*Control_Analysis!$E$11</f>
        <v>55000</v>
      </c>
      <c r="I11" s="28">
        <f>Control_Analysis!$F$6-G11</f>
        <v>8712500</v>
      </c>
      <c r="J11" s="63">
        <f t="shared" si="1"/>
        <v>63.90740741</v>
      </c>
    </row>
    <row r="12">
      <c r="A12" s="35">
        <v>8.0</v>
      </c>
      <c r="B12" s="6" t="s">
        <v>361</v>
      </c>
      <c r="C12" s="62">
        <v>1.0</v>
      </c>
      <c r="D12" s="62">
        <v>1.0</v>
      </c>
      <c r="E12" s="62">
        <v>1.0</v>
      </c>
      <c r="F12" s="28">
        <f>C12*Control_Analysis!$C$10+D12*Control_Analysis!$D$10+E12*Control_Analysis!$E$10</f>
        <v>700000</v>
      </c>
      <c r="G12" s="28">
        <f>C12*Control_Analysis!$C$8+D12*Control_Analysis!$D$8+E12*Control_Analysis!$E$8</f>
        <v>26962500</v>
      </c>
      <c r="H12" s="28">
        <f>C12*Control_Analysis!$C$11+D12*Control_Analysis!$D$11+E12*Control_Analysis!$E$11</f>
        <v>105000</v>
      </c>
      <c r="I12" s="28">
        <f>Control_Analysis!$F$6-G12</f>
        <v>8037500</v>
      </c>
      <c r="J12" s="63">
        <f t="shared" si="1"/>
        <v>32.49378882</v>
      </c>
    </row>
    <row r="15">
      <c r="A15" s="11" t="s">
        <v>368</v>
      </c>
    </row>
    <row r="16" ht="43.5" customHeight="1">
      <c r="A16" s="5" t="s">
        <v>369</v>
      </c>
      <c r="B16" s="5" t="s">
        <v>370</v>
      </c>
      <c r="C16" s="5" t="s">
        <v>371</v>
      </c>
      <c r="D16" s="5" t="s">
        <v>372</v>
      </c>
      <c r="E16" s="5" t="s">
        <v>373</v>
      </c>
      <c r="F16" s="5" t="s">
        <v>318</v>
      </c>
      <c r="G16" s="5" t="s">
        <v>374</v>
      </c>
    </row>
    <row r="17">
      <c r="A17" s="6" t="s">
        <v>375</v>
      </c>
      <c r="B17" s="25">
        <v>150000.0</v>
      </c>
      <c r="C17" s="32">
        <f t="shared" ref="C17:C20" si="2">SUMPRODUCT(MAX(($F$5:$F$12&lt;=B17)*$G$5:$G$12))</f>
        <v>23437500</v>
      </c>
      <c r="D17" s="4" t="str">
        <f t="shared" ref="D17:D20" si="3">INDEX($B$5:$B$12,MATCH(C17,$G$5:$G$12,0))</f>
        <v>WAF</v>
      </c>
      <c r="E17" s="17">
        <f t="shared" ref="E17:E20" si="4">INDEX($F$5:$F$12,MATCH(C17,$G$5:$G$12,0))</f>
        <v>150000</v>
      </c>
      <c r="F17" s="28">
        <f>Control_Analysis!$F$6-C17</f>
        <v>11562500</v>
      </c>
      <c r="G17" s="30">
        <f>C17/Control_Analysis!$F$6</f>
        <v>0.6696428571</v>
      </c>
    </row>
    <row r="18">
      <c r="A18" s="6" t="s">
        <v>376</v>
      </c>
      <c r="B18" s="25">
        <v>350000.0</v>
      </c>
      <c r="C18" s="32">
        <f t="shared" si="2"/>
        <v>26287500</v>
      </c>
      <c r="D18" s="4" t="str">
        <f t="shared" si="3"/>
        <v>WAF + MFA</v>
      </c>
      <c r="E18" s="17">
        <f t="shared" si="4"/>
        <v>350000</v>
      </c>
      <c r="F18" s="28">
        <f>Control_Analysis!$F$6-C18</f>
        <v>8712500</v>
      </c>
      <c r="G18" s="30">
        <f>C18/Control_Analysis!$F$6</f>
        <v>0.7510714286</v>
      </c>
    </row>
    <row r="19">
      <c r="A19" s="6" t="s">
        <v>380</v>
      </c>
      <c r="B19" s="25">
        <v>500000.0</v>
      </c>
      <c r="C19" s="32">
        <f t="shared" si="2"/>
        <v>26287500</v>
      </c>
      <c r="D19" s="4" t="str">
        <f t="shared" si="3"/>
        <v>WAF + MFA</v>
      </c>
      <c r="E19" s="17">
        <f t="shared" si="4"/>
        <v>350000</v>
      </c>
      <c r="F19" s="28">
        <f>Control_Analysis!$F$6-C19</f>
        <v>8712500</v>
      </c>
      <c r="G19" s="30">
        <f>C19/Control_Analysis!$F$6</f>
        <v>0.7510714286</v>
      </c>
    </row>
    <row r="20">
      <c r="A20" s="6" t="s">
        <v>386</v>
      </c>
      <c r="B20" s="25">
        <v>700000.0</v>
      </c>
      <c r="C20" s="32">
        <f t="shared" si="2"/>
        <v>26962500</v>
      </c>
      <c r="D20" s="4" t="str">
        <f t="shared" si="3"/>
        <v>API Gateway + WAF + MFA</v>
      </c>
      <c r="E20" s="17">
        <f t="shared" si="4"/>
        <v>700000</v>
      </c>
      <c r="F20" s="28">
        <f>Control_Analysis!$F$6-C20</f>
        <v>8037500</v>
      </c>
      <c r="G20" s="30">
        <f>C20/Control_Analysis!$F$6</f>
        <v>0.7703571429</v>
      </c>
    </row>
    <row r="21" ht="15.75" customHeight="1"/>
    <row r="22" ht="15.75" customHeight="1">
      <c r="A22" s="3" t="s">
        <v>387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20.0"/>
    <col customWidth="1" min="3" max="3" width="18.0"/>
    <col customWidth="1" min="4" max="4" width="26.0"/>
    <col customWidth="1" min="5" max="5" width="24.0"/>
    <col customWidth="1" min="6" max="6" width="16.0"/>
    <col customWidth="1" min="7" max="7" width="22.0"/>
    <col customWidth="1" min="8" max="26" width="8.71"/>
  </cols>
  <sheetData>
    <row r="1">
      <c r="A1" s="2" t="s">
        <v>377</v>
      </c>
    </row>
    <row r="2">
      <c r="A2" s="3" t="s">
        <v>378</v>
      </c>
    </row>
    <row r="4" ht="43.5" customHeight="1">
      <c r="A4" s="5" t="s">
        <v>154</v>
      </c>
      <c r="B4" s="5" t="s">
        <v>379</v>
      </c>
      <c r="C4" s="5" t="s">
        <v>381</v>
      </c>
      <c r="D4" s="5" t="s">
        <v>382</v>
      </c>
      <c r="E4" s="5" t="s">
        <v>383</v>
      </c>
      <c r="F4" s="5" t="s">
        <v>384</v>
      </c>
      <c r="G4" s="5" t="s">
        <v>385</v>
      </c>
    </row>
    <row r="5">
      <c r="A5" s="15" t="str">
        <f>Control_Analysis!C4</f>
        <v>Advanced API Security Gateway</v>
      </c>
      <c r="B5" s="28">
        <f>Control_Analysis!C12</f>
        <v>400000</v>
      </c>
      <c r="C5" s="41">
        <f>Control_Analysis!C7</f>
        <v>0.9</v>
      </c>
      <c r="D5" s="17">
        <f t="shared" ref="D5:D7" si="1">B5/C5</f>
        <v>444444.4444</v>
      </c>
      <c r="E5" s="28">
        <f>Control_Analysis!C6</f>
        <v>750000</v>
      </c>
      <c r="F5" s="69">
        <f t="shared" ref="F5:F7" si="2">E5/D5</f>
        <v>1.6875</v>
      </c>
      <c r="G5" s="70">
        <f t="shared" ref="G5:G7" si="3">D5/E5</f>
        <v>0.5925925926</v>
      </c>
    </row>
    <row r="6">
      <c r="A6" s="15" t="str">
        <f>Control_Analysis!D4</f>
        <v>Web Application Firewall (WAF)</v>
      </c>
      <c r="B6" s="28">
        <f>Control_Analysis!D12</f>
        <v>175000</v>
      </c>
      <c r="C6" s="41">
        <f>Control_Analysis!D7</f>
        <v>0.75</v>
      </c>
      <c r="D6" s="17">
        <f t="shared" si="1"/>
        <v>233333.3333</v>
      </c>
      <c r="E6" s="28">
        <f>Control_Analysis!D6</f>
        <v>31250000</v>
      </c>
      <c r="F6" s="69">
        <f t="shared" si="2"/>
        <v>133.9285714</v>
      </c>
      <c r="G6" s="70">
        <f t="shared" si="3"/>
        <v>0.007466666667</v>
      </c>
    </row>
    <row r="7">
      <c r="A7" s="15" t="str">
        <f>Control_Analysis!E4</f>
        <v>Multi-Factor Authentication Enhancement</v>
      </c>
      <c r="B7" s="28">
        <f>Control_Analysis!E12</f>
        <v>230000</v>
      </c>
      <c r="C7" s="41">
        <f>Control_Analysis!E7</f>
        <v>0.95</v>
      </c>
      <c r="D7" s="17">
        <f t="shared" si="1"/>
        <v>242105.2632</v>
      </c>
      <c r="E7" s="28">
        <f>Control_Analysis!E6</f>
        <v>3000000</v>
      </c>
      <c r="F7" s="69">
        <f t="shared" si="2"/>
        <v>12.39130435</v>
      </c>
      <c r="G7" s="70">
        <f t="shared" si="3"/>
        <v>0.08070175439</v>
      </c>
    </row>
    <row r="10">
      <c r="A10" s="11" t="s">
        <v>388</v>
      </c>
    </row>
    <row r="11">
      <c r="A11" s="5" t="s">
        <v>389</v>
      </c>
      <c r="B11" s="71">
        <v>0.25</v>
      </c>
      <c r="C11" s="71">
        <v>0.15</v>
      </c>
      <c r="D11" s="71">
        <v>0.1</v>
      </c>
      <c r="E11" s="71">
        <v>0.05</v>
      </c>
      <c r="F11" s="71">
        <v>0.01</v>
      </c>
    </row>
    <row r="12">
      <c r="A12" s="71">
        <v>1.0</v>
      </c>
      <c r="B12" s="60">
        <f>(Inputs!$B$16*$A12*Inputs!$B$17*B$11*Inputs!$C$25-Control_Analysis!$D$12)/Control_Analysis!$D$12</f>
        <v>132.9285714</v>
      </c>
      <c r="C12" s="60">
        <f>(Inputs!$B$16*$A12*Inputs!$B$17*C$11*Inputs!$C$25-Control_Analysis!$D$12)/Control_Analysis!$D$12</f>
        <v>79.35714286</v>
      </c>
      <c r="D12" s="60">
        <f>(Inputs!$B$16*$A12*Inputs!$B$17*D$11*Inputs!$C$25-Control_Analysis!$D$12)/Control_Analysis!$D$12</f>
        <v>52.57142857</v>
      </c>
      <c r="E12" s="60">
        <f>(Inputs!$B$16*$A12*Inputs!$B$17*E$11*Inputs!$C$25-Control_Analysis!$D$12)/Control_Analysis!$D$12</f>
        <v>25.78571429</v>
      </c>
      <c r="F12" s="60">
        <f>(Inputs!$B$16*$A12*Inputs!$B$17*F$11*Inputs!$C$25-Control_Analysis!$D$12)/Control_Analysis!$D$12</f>
        <v>4.357142857</v>
      </c>
    </row>
    <row r="13">
      <c r="A13" s="71">
        <v>0.5</v>
      </c>
      <c r="B13" s="60">
        <f>(Inputs!$B$16*$A13*Inputs!$B$17*B$11*Inputs!$C$25-Control_Analysis!$D$12)/Control_Analysis!$D$12</f>
        <v>65.96428571</v>
      </c>
      <c r="C13" s="60">
        <f>(Inputs!$B$16*$A13*Inputs!$B$17*C$11*Inputs!$C$25-Control_Analysis!$D$12)/Control_Analysis!$D$12</f>
        <v>39.17857143</v>
      </c>
      <c r="D13" s="60">
        <f>(Inputs!$B$16*$A13*Inputs!$B$17*D$11*Inputs!$C$25-Control_Analysis!$D$12)/Control_Analysis!$D$12</f>
        <v>25.78571429</v>
      </c>
      <c r="E13" s="60">
        <f>(Inputs!$B$16*$A13*Inputs!$B$17*E$11*Inputs!$C$25-Control_Analysis!$D$12)/Control_Analysis!$D$12</f>
        <v>12.39285714</v>
      </c>
      <c r="F13" s="60">
        <f>(Inputs!$B$16*$A13*Inputs!$B$17*F$11*Inputs!$C$25-Control_Analysis!$D$12)/Control_Analysis!$D$12</f>
        <v>1.678571429</v>
      </c>
    </row>
    <row r="14">
      <c r="A14" s="71">
        <v>0.25</v>
      </c>
      <c r="B14" s="60">
        <f>(Inputs!$B$16*$A14*Inputs!$B$17*B$11*Inputs!$C$25-Control_Analysis!$D$12)/Control_Analysis!$D$12</f>
        <v>32.48214286</v>
      </c>
      <c r="C14" s="60">
        <f>(Inputs!$B$16*$A14*Inputs!$B$17*C$11*Inputs!$C$25-Control_Analysis!$D$12)/Control_Analysis!$D$12</f>
        <v>19.08928571</v>
      </c>
      <c r="D14" s="60">
        <f>(Inputs!$B$16*$A14*Inputs!$B$17*D$11*Inputs!$C$25-Control_Analysis!$D$12)/Control_Analysis!$D$12</f>
        <v>12.39285714</v>
      </c>
      <c r="E14" s="60">
        <f>(Inputs!$B$16*$A14*Inputs!$B$17*E$11*Inputs!$C$25-Control_Analysis!$D$12)/Control_Analysis!$D$12</f>
        <v>5.696428571</v>
      </c>
      <c r="F14" s="60">
        <f>(Inputs!$B$16*$A14*Inputs!$B$17*F$11*Inputs!$C$25-Control_Analysis!$D$12)/Control_Analysis!$D$12</f>
        <v>0.3392857143</v>
      </c>
    </row>
    <row r="15">
      <c r="A15" s="71">
        <v>0.1</v>
      </c>
      <c r="B15" s="60">
        <f>(Inputs!$B$16*$A15*Inputs!$B$17*B$11*Inputs!$C$25-Control_Analysis!$D$12)/Control_Analysis!$D$12</f>
        <v>12.39285714</v>
      </c>
      <c r="C15" s="60">
        <f>(Inputs!$B$16*$A15*Inputs!$B$17*C$11*Inputs!$C$25-Control_Analysis!$D$12)/Control_Analysis!$D$12</f>
        <v>7.035714286</v>
      </c>
      <c r="D15" s="60">
        <f>(Inputs!$B$16*$A15*Inputs!$B$17*D$11*Inputs!$C$25-Control_Analysis!$D$12)/Control_Analysis!$D$12</f>
        <v>4.357142857</v>
      </c>
      <c r="E15" s="60">
        <f>(Inputs!$B$16*$A15*Inputs!$B$17*E$11*Inputs!$C$25-Control_Analysis!$D$12)/Control_Analysis!$D$12</f>
        <v>1.678571429</v>
      </c>
      <c r="F15" s="60">
        <f>(Inputs!$B$16*$A15*Inputs!$B$17*F$11*Inputs!$C$25-Control_Analysis!$D$12)/Control_Analysis!$D$12</f>
        <v>-0.4642857143</v>
      </c>
    </row>
    <row r="16">
      <c r="A16" s="71">
        <v>0.05</v>
      </c>
      <c r="B16" s="60">
        <f>(Inputs!$B$16*$A16*Inputs!$B$17*B$11*Inputs!$C$25-Control_Analysis!$D$12)/Control_Analysis!$D$12</f>
        <v>5.696428571</v>
      </c>
      <c r="C16" s="60">
        <f>(Inputs!$B$16*$A16*Inputs!$B$17*C$11*Inputs!$C$25-Control_Analysis!$D$12)/Control_Analysis!$D$12</f>
        <v>3.017857143</v>
      </c>
      <c r="D16" s="60">
        <f>(Inputs!$B$16*$A16*Inputs!$B$17*D$11*Inputs!$C$25-Control_Analysis!$D$12)/Control_Analysis!$D$12</f>
        <v>1.678571429</v>
      </c>
      <c r="E16" s="60">
        <f>(Inputs!$B$16*$A16*Inputs!$B$17*E$11*Inputs!$C$25-Control_Analysis!$D$12)/Control_Analysis!$D$12</f>
        <v>0.3392857143</v>
      </c>
      <c r="F16" s="60">
        <f>(Inputs!$B$16*$A16*Inputs!$B$17*F$11*Inputs!$C$25-Control_Analysis!$D$12)/Control_Analysis!$D$12</f>
        <v>-0.7321428571</v>
      </c>
    </row>
    <row r="19">
      <c r="A19" s="11" t="s">
        <v>401</v>
      </c>
    </row>
    <row r="20">
      <c r="A20" s="5" t="s">
        <v>402</v>
      </c>
      <c r="B20" s="71">
        <v>0.15</v>
      </c>
      <c r="C20" s="71">
        <v>0.12</v>
      </c>
      <c r="D20" s="71">
        <v>0.1</v>
      </c>
      <c r="E20" s="71">
        <v>0.08</v>
      </c>
      <c r="F20" s="71">
        <v>0.05</v>
      </c>
    </row>
    <row r="21" ht="15.75" customHeight="1">
      <c r="A21" s="72">
        <v>5000000.0</v>
      </c>
      <c r="B21" s="60">
        <f>($A21*Inputs!$B$39*B$20*Inputs!$C$24-Control_Analysis!$C$12)/Control_Analysis!$C$12</f>
        <v>0.6875</v>
      </c>
      <c r="C21" s="60">
        <f>($A21*Inputs!$B$39*C$20*Inputs!$C$24-Control_Analysis!$C$12)/Control_Analysis!$C$12</f>
        <v>0.35</v>
      </c>
      <c r="D21" s="60">
        <f>($A21*Inputs!$B$39*D$20*Inputs!$C$24-Control_Analysis!$C$12)/Control_Analysis!$C$12</f>
        <v>0.125</v>
      </c>
      <c r="E21" s="60">
        <f>($A21*Inputs!$B$39*E$20*Inputs!$C$24-Control_Analysis!$C$12)/Control_Analysis!$C$12</f>
        <v>-0.1</v>
      </c>
      <c r="F21" s="60">
        <f>($A21*Inputs!$B$39*F$20*Inputs!$C$24-Control_Analysis!$C$12)/Control_Analysis!$C$12</f>
        <v>-0.4375</v>
      </c>
    </row>
    <row r="22" ht="15.75" customHeight="1">
      <c r="A22" s="72">
        <v>4000000.0</v>
      </c>
      <c r="B22" s="60">
        <f>($A22*Inputs!$B$39*B$20*Inputs!$C$24-Control_Analysis!$C$12)/Control_Analysis!$C$12</f>
        <v>0.35</v>
      </c>
      <c r="C22" s="60">
        <f>($A22*Inputs!$B$39*C$20*Inputs!$C$24-Control_Analysis!$C$12)/Control_Analysis!$C$12</f>
        <v>0.08</v>
      </c>
      <c r="D22" s="60">
        <f>($A22*Inputs!$B$39*D$20*Inputs!$C$24-Control_Analysis!$C$12)/Control_Analysis!$C$12</f>
        <v>-0.1</v>
      </c>
      <c r="E22" s="60">
        <f>($A22*Inputs!$B$39*E$20*Inputs!$C$24-Control_Analysis!$C$12)/Control_Analysis!$C$12</f>
        <v>-0.28</v>
      </c>
      <c r="F22" s="60">
        <f>($A22*Inputs!$B$39*F$20*Inputs!$C$24-Control_Analysis!$C$12)/Control_Analysis!$C$12</f>
        <v>-0.55</v>
      </c>
    </row>
    <row r="23" ht="15.75" customHeight="1">
      <c r="A23" s="72">
        <v>3000000.0</v>
      </c>
      <c r="B23" s="60">
        <f>($A23*Inputs!$B$39*B$20*Inputs!$C$24-Control_Analysis!$C$12)/Control_Analysis!$C$12</f>
        <v>0.0125</v>
      </c>
      <c r="C23" s="60">
        <f>($A23*Inputs!$B$39*C$20*Inputs!$C$24-Control_Analysis!$C$12)/Control_Analysis!$C$12</f>
        <v>-0.19</v>
      </c>
      <c r="D23" s="60">
        <f>($A23*Inputs!$B$39*D$20*Inputs!$C$24-Control_Analysis!$C$12)/Control_Analysis!$C$12</f>
        <v>-0.325</v>
      </c>
      <c r="E23" s="60">
        <f>($A23*Inputs!$B$39*E$20*Inputs!$C$24-Control_Analysis!$C$12)/Control_Analysis!$C$12</f>
        <v>-0.46</v>
      </c>
      <c r="F23" s="60">
        <f>($A23*Inputs!$B$39*F$20*Inputs!$C$24-Control_Analysis!$C$12)/Control_Analysis!$C$12</f>
        <v>-0.6625</v>
      </c>
    </row>
    <row r="24" ht="15.75" customHeight="1">
      <c r="A24" s="72">
        <v>2000000.0</v>
      </c>
      <c r="B24" s="60">
        <f>($A24*Inputs!$B$39*B$20*Inputs!$C$24-Control_Analysis!$C$12)/Control_Analysis!$C$12</f>
        <v>-0.325</v>
      </c>
      <c r="C24" s="60">
        <f>($A24*Inputs!$B$39*C$20*Inputs!$C$24-Control_Analysis!$C$12)/Control_Analysis!$C$12</f>
        <v>-0.46</v>
      </c>
      <c r="D24" s="60">
        <f>($A24*Inputs!$B$39*D$20*Inputs!$C$24-Control_Analysis!$C$12)/Control_Analysis!$C$12</f>
        <v>-0.55</v>
      </c>
      <c r="E24" s="60">
        <f>($A24*Inputs!$B$39*E$20*Inputs!$C$24-Control_Analysis!$C$12)/Control_Analysis!$C$12</f>
        <v>-0.64</v>
      </c>
      <c r="F24" s="60">
        <f>($A24*Inputs!$B$39*F$20*Inputs!$C$24-Control_Analysis!$C$12)/Control_Analysis!$C$12</f>
        <v>-0.775</v>
      </c>
    </row>
    <row r="25" ht="15.75" customHeight="1"/>
    <row r="26" ht="15.75" customHeight="1">
      <c r="A26" s="3" t="s">
        <v>409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9" width="20.0"/>
    <col customWidth="1" min="10" max="26" width="8.71"/>
  </cols>
  <sheetData>
    <row r="1">
      <c r="A1" s="2" t="s">
        <v>398</v>
      </c>
    </row>
    <row r="4">
      <c r="A4" s="5" t="s">
        <v>191</v>
      </c>
      <c r="B4" s="5" t="s">
        <v>399</v>
      </c>
      <c r="C4" s="5" t="s">
        <v>400</v>
      </c>
      <c r="D4" s="5" t="s">
        <v>201</v>
      </c>
    </row>
    <row r="5">
      <c r="A5" s="15" t="str">
        <f>Risk_Calc!B5</f>
        <v>F1 – API Authentication Bypass</v>
      </c>
      <c r="B5" s="28">
        <f>Risk_Calc!I5</f>
        <v>750000</v>
      </c>
      <c r="C5" s="28">
        <f>B5-SUMPRODUCT((Control_Analysis!$C$5:$E$5=Risk_Calc!A5)*Control_Analysis!$C$8:$E$8)</f>
        <v>75000</v>
      </c>
      <c r="D5" s="30">
        <f>Risk_Calc!J5</f>
        <v>0.02142857143</v>
      </c>
    </row>
    <row r="6">
      <c r="A6" s="15" t="str">
        <f>Risk_Calc!B6</f>
        <v>F2 – Database Injection Vulnerability</v>
      </c>
      <c r="B6" s="28">
        <f>Risk_Calc!I6</f>
        <v>31250000</v>
      </c>
      <c r="C6" s="28">
        <f>B6-SUMPRODUCT((Control_Analysis!$C$5:$E$5=Risk_Calc!A6)*Control_Analysis!$C$8:$E$8)</f>
        <v>7812500</v>
      </c>
      <c r="D6" s="30">
        <f>Risk_Calc!J6</f>
        <v>0.8928571429</v>
      </c>
    </row>
    <row r="7">
      <c r="A7" s="15" t="str">
        <f>Risk_Calc!B7</f>
        <v>F3 – Session Hijacking</v>
      </c>
      <c r="B7" s="28">
        <f>Risk_Calc!I7</f>
        <v>3000000</v>
      </c>
      <c r="C7" s="28">
        <f>B7-SUMPRODUCT((Control_Analysis!$C$5:$E$5=Risk_Calc!A7)*Control_Analysis!$C$8:$E$8)</f>
        <v>150000</v>
      </c>
      <c r="D7" s="30">
        <f>Risk_Calc!J7</f>
        <v>0.08571428571</v>
      </c>
    </row>
    <row r="11" ht="43.5" customHeight="1">
      <c r="A11" s="5" t="s">
        <v>154</v>
      </c>
      <c r="B11" s="5" t="s">
        <v>403</v>
      </c>
      <c r="C11" s="5" t="s">
        <v>404</v>
      </c>
      <c r="D11" s="5" t="s">
        <v>379</v>
      </c>
      <c r="E11" s="5" t="s">
        <v>405</v>
      </c>
      <c r="F11" s="5" t="s">
        <v>306</v>
      </c>
      <c r="G11" s="5" t="s">
        <v>307</v>
      </c>
      <c r="H11" s="5" t="s">
        <v>406</v>
      </c>
      <c r="I11" s="5" t="s">
        <v>407</v>
      </c>
      <c r="J11" s="5" t="s">
        <v>408</v>
      </c>
      <c r="K11" s="5" t="s">
        <v>307</v>
      </c>
    </row>
    <row r="12">
      <c r="A12" s="15" t="str">
        <f>Control_Analysis!C4</f>
        <v>Advanced API Security Gateway</v>
      </c>
      <c r="B12" s="28">
        <f>Control_Analysis!C10</f>
        <v>350000</v>
      </c>
      <c r="C12" s="28">
        <f>Control_Analysis!C11*Inputs!$B$28</f>
        <v>150000</v>
      </c>
      <c r="D12" s="28">
        <f>Control_Analysis!C12</f>
        <v>400000</v>
      </c>
      <c r="E12" s="41">
        <f>Control_Analysis!C7</f>
        <v>0.9</v>
      </c>
      <c r="F12" s="28">
        <f>Control_Analysis!C8</f>
        <v>675000</v>
      </c>
      <c r="G12" s="60">
        <f>Control_Analysis!C14</f>
        <v>0.6875</v>
      </c>
      <c r="H12" s="60">
        <f>Control_Analysis!C18</f>
        <v>3.05</v>
      </c>
      <c r="I12" s="61">
        <f>Control_Analysis!C20</f>
        <v>6.72</v>
      </c>
      <c r="J12" s="12" t="s">
        <v>320</v>
      </c>
      <c r="K12" s="73">
        <f t="shared" ref="K12:K14" si="1">G12*100</f>
        <v>68.75</v>
      </c>
    </row>
    <row r="13">
      <c r="A13" s="15" t="str">
        <f>Control_Analysis!D4</f>
        <v>Web Application Firewall (WAF)</v>
      </c>
      <c r="B13" s="28">
        <f>Control_Analysis!D10</f>
        <v>150000</v>
      </c>
      <c r="C13" s="28">
        <f>Control_Analysis!D11*Inputs!$B$28</f>
        <v>75000</v>
      </c>
      <c r="D13" s="28">
        <f>Control_Analysis!D12</f>
        <v>175000</v>
      </c>
      <c r="E13" s="41">
        <f>Control_Analysis!D7</f>
        <v>0.75</v>
      </c>
      <c r="F13" s="28">
        <f>Control_Analysis!D8</f>
        <v>23437500</v>
      </c>
      <c r="G13" s="60">
        <f>Control_Analysis!D14</f>
        <v>132.9285714</v>
      </c>
      <c r="H13" s="60">
        <f>Control_Analysis!D18</f>
        <v>311.5</v>
      </c>
      <c r="I13" s="61">
        <f>Control_Analysis!D20</f>
        <v>0.07688200747</v>
      </c>
      <c r="J13" s="12" t="s">
        <v>330</v>
      </c>
      <c r="K13" s="73">
        <f t="shared" si="1"/>
        <v>13292.85714</v>
      </c>
    </row>
    <row r="14">
      <c r="A14" s="15" t="str">
        <f>Control_Analysis!E4</f>
        <v>Multi-Factor Authentication Enhancement</v>
      </c>
      <c r="B14" s="28">
        <f>Control_Analysis!E10</f>
        <v>200000</v>
      </c>
      <c r="C14" s="28">
        <f>Control_Analysis!E11*Inputs!$B$28</f>
        <v>90000</v>
      </c>
      <c r="D14" s="28">
        <f>Control_Analysis!E12</f>
        <v>230000</v>
      </c>
      <c r="E14" s="41">
        <f>Control_Analysis!E7</f>
        <v>0.95</v>
      </c>
      <c r="F14" s="28">
        <f>Control_Analysis!E8</f>
        <v>2850000</v>
      </c>
      <c r="G14" s="60">
        <f>Control_Analysis!E14</f>
        <v>11.39130435</v>
      </c>
      <c r="H14" s="60">
        <f>Control_Analysis!E18</f>
        <v>28.48275862</v>
      </c>
      <c r="I14" s="61">
        <f>Control_Analysis!E20</f>
        <v>0.8510638298</v>
      </c>
      <c r="J14" s="12" t="s">
        <v>332</v>
      </c>
      <c r="K14" s="73">
        <f t="shared" si="1"/>
        <v>1139.130435</v>
      </c>
    </row>
    <row r="15">
      <c r="J15" s="3" t="s">
        <v>410</v>
      </c>
    </row>
    <row r="19">
      <c r="A19" s="11" t="s">
        <v>411</v>
      </c>
    </row>
    <row r="20" ht="43.5" customHeight="1">
      <c r="A20" s="5" t="s">
        <v>412</v>
      </c>
      <c r="B20" s="5" t="s">
        <v>413</v>
      </c>
      <c r="C20" s="5" t="s">
        <v>414</v>
      </c>
      <c r="D20" s="5" t="s">
        <v>415</v>
      </c>
      <c r="E20" s="5" t="s">
        <v>416</v>
      </c>
    </row>
    <row r="21" ht="15.75" customHeight="1">
      <c r="A21" s="12" t="s">
        <v>417</v>
      </c>
      <c r="B21" s="29">
        <f>Gantt!D5-1</f>
        <v>0</v>
      </c>
      <c r="C21" s="29">
        <f>IF(LEFT(Gantt!B5,1)="1",Gantt!E5,0)</f>
        <v>7</v>
      </c>
      <c r="D21" s="29">
        <f>IF(LEFT(Gantt!B5,1)="2",Gantt!E5,0)</f>
        <v>0</v>
      </c>
      <c r="E21" s="29">
        <f>IF(LEFT(Gantt!B5,1)="3",Gantt!E5,0)</f>
        <v>0</v>
      </c>
    </row>
    <row r="22" ht="15.75" customHeight="1">
      <c r="A22" s="12" t="s">
        <v>418</v>
      </c>
      <c r="B22" s="29">
        <f>Gantt!D6-1</f>
        <v>0</v>
      </c>
      <c r="C22" s="29">
        <f>IF(LEFT(Gantt!B6,1)="1",Gantt!E6,0)</f>
        <v>21</v>
      </c>
      <c r="D22" s="29">
        <f>IF(LEFT(Gantt!B6,1)="2",Gantt!E6,0)</f>
        <v>0</v>
      </c>
      <c r="E22" s="29">
        <f>IF(LEFT(Gantt!B6,1)="3",Gantt!E6,0)</f>
        <v>0</v>
      </c>
    </row>
    <row r="23" ht="15.75" customHeight="1">
      <c r="A23" s="12" t="s">
        <v>419</v>
      </c>
      <c r="B23" s="29">
        <f>Gantt!D7-1</f>
        <v>7</v>
      </c>
      <c r="C23" s="29">
        <f>IF(LEFT(Gantt!B7,1)="1",Gantt!E7,0)</f>
        <v>23</v>
      </c>
      <c r="D23" s="29">
        <f>IF(LEFT(Gantt!B7,1)="2",Gantt!E7,0)</f>
        <v>0</v>
      </c>
      <c r="E23" s="29">
        <f>IF(LEFT(Gantt!B7,1)="3",Gantt!E7,0)</f>
        <v>0</v>
      </c>
    </row>
    <row r="24" ht="15.75" customHeight="1">
      <c r="A24" s="12" t="s">
        <v>420</v>
      </c>
      <c r="B24" s="29">
        <f>Gantt!D8-1</f>
        <v>7</v>
      </c>
      <c r="C24" s="29">
        <f>IF(LEFT(Gantt!B8,1)="1",Gantt!E8,0)</f>
        <v>23</v>
      </c>
      <c r="D24" s="29">
        <f>IF(LEFT(Gantt!B8,1)="2",Gantt!E8,0)</f>
        <v>0</v>
      </c>
      <c r="E24" s="29">
        <f>IF(LEFT(Gantt!B8,1)="3",Gantt!E8,0)</f>
        <v>0</v>
      </c>
    </row>
    <row r="25" ht="15.75" customHeight="1">
      <c r="A25" s="12" t="s">
        <v>421</v>
      </c>
      <c r="B25" s="29">
        <f>Gantt!D9-1</f>
        <v>30</v>
      </c>
      <c r="C25" s="29">
        <f>IF(LEFT(Gantt!B9,1)="1",Gantt!E9,0)</f>
        <v>0</v>
      </c>
      <c r="D25" s="29">
        <f>IF(LEFT(Gantt!B9,1)="2",Gantt!E9,0)</f>
        <v>30</v>
      </c>
      <c r="E25" s="29">
        <f>IF(LEFT(Gantt!B9,1)="3",Gantt!E9,0)</f>
        <v>0</v>
      </c>
    </row>
    <row r="26" ht="15.75" customHeight="1">
      <c r="A26" s="12" t="s">
        <v>422</v>
      </c>
      <c r="B26" s="29">
        <f>Gantt!D10-1</f>
        <v>60</v>
      </c>
      <c r="C26" s="29">
        <f>IF(LEFT(Gantt!B10,1)="1",Gantt!E10,0)</f>
        <v>0</v>
      </c>
      <c r="D26" s="29">
        <f>IF(LEFT(Gantt!B10,1)="2",Gantt!E10,0)</f>
        <v>30</v>
      </c>
      <c r="E26" s="29">
        <f>IF(LEFT(Gantt!B10,1)="3",Gantt!E10,0)</f>
        <v>0</v>
      </c>
    </row>
    <row r="27" ht="15.75" customHeight="1">
      <c r="A27" s="12" t="s">
        <v>423</v>
      </c>
      <c r="B27" s="29">
        <f>Gantt!D11-1</f>
        <v>30</v>
      </c>
      <c r="C27" s="29">
        <f>IF(LEFT(Gantt!B11,1)="1",Gantt!E11,0)</f>
        <v>0</v>
      </c>
      <c r="D27" s="29">
        <f>IF(LEFT(Gantt!B11,1)="2",Gantt!E11,0)</f>
        <v>45</v>
      </c>
      <c r="E27" s="29">
        <f>IF(LEFT(Gantt!B11,1)="3",Gantt!E11,0)</f>
        <v>0</v>
      </c>
    </row>
    <row r="28" ht="15.75" customHeight="1">
      <c r="A28" s="12" t="s">
        <v>424</v>
      </c>
      <c r="B28" s="29">
        <f>Gantt!D12-1</f>
        <v>75</v>
      </c>
      <c r="C28" s="29">
        <f>IF(LEFT(Gantt!B12,1)="1",Gantt!E12,0)</f>
        <v>0</v>
      </c>
      <c r="D28" s="29">
        <f>IF(LEFT(Gantt!B12,1)="2",Gantt!E12,0)</f>
        <v>15</v>
      </c>
      <c r="E28" s="29">
        <f>IF(LEFT(Gantt!B12,1)="3",Gantt!E12,0)</f>
        <v>0</v>
      </c>
    </row>
    <row r="29" ht="15.75" customHeight="1">
      <c r="A29" s="12" t="s">
        <v>425</v>
      </c>
      <c r="B29" s="29">
        <f>Gantt!D13-1</f>
        <v>79</v>
      </c>
      <c r="C29" s="29">
        <f>IF(LEFT(Gantt!B13,1)="1",Gantt!E13,0)</f>
        <v>0</v>
      </c>
      <c r="D29" s="29">
        <f>IF(LEFT(Gantt!B13,1)="2",Gantt!E13,0)</f>
        <v>11</v>
      </c>
      <c r="E29" s="29">
        <f>IF(LEFT(Gantt!B13,1)="3",Gantt!E13,0)</f>
        <v>0</v>
      </c>
    </row>
    <row r="30" ht="15.75" customHeight="1">
      <c r="A30" s="12" t="s">
        <v>426</v>
      </c>
      <c r="B30" s="29">
        <f>Gantt!D14-1</f>
        <v>90</v>
      </c>
      <c r="C30" s="29">
        <f>IF(LEFT(Gantt!B14,1)="1",Gantt!E14,0)</f>
        <v>0</v>
      </c>
      <c r="D30" s="29">
        <f>IF(LEFT(Gantt!B14,1)="2",Gantt!E14,0)</f>
        <v>0</v>
      </c>
      <c r="E30" s="29">
        <f>IF(LEFT(Gantt!B14,1)="3",Gantt!E14,0)</f>
        <v>150</v>
      </c>
    </row>
    <row r="31" ht="15.75" customHeight="1">
      <c r="A31" s="12" t="s">
        <v>427</v>
      </c>
      <c r="B31" s="29">
        <f>Gantt!D15-1</f>
        <v>179</v>
      </c>
      <c r="C31" s="29">
        <f>IF(LEFT(Gantt!B15,1)="1",Gantt!E15,0)</f>
        <v>0</v>
      </c>
      <c r="D31" s="29">
        <f>IF(LEFT(Gantt!B15,1)="2",Gantt!E15,0)</f>
        <v>0</v>
      </c>
      <c r="E31" s="29">
        <f>IF(LEFT(Gantt!B15,1)="3",Gantt!E15,0)</f>
        <v>30</v>
      </c>
    </row>
    <row r="32" ht="15.75" customHeight="1">
      <c r="A32" s="12" t="s">
        <v>428</v>
      </c>
      <c r="B32" s="29">
        <f>Gantt!D16-1</f>
        <v>90</v>
      </c>
      <c r="C32" s="29">
        <f>IF(LEFT(Gantt!B16,1)="1",Gantt!E16,0)</f>
        <v>0</v>
      </c>
      <c r="D32" s="29">
        <f>IF(LEFT(Gantt!B16,1)="2",Gantt!E16,0)</f>
        <v>0</v>
      </c>
      <c r="E32" s="29">
        <f>IF(LEFT(Gantt!B16,1)="3",Gantt!E16,0)</f>
        <v>275</v>
      </c>
    </row>
    <row r="33" ht="15.75" customHeight="1">
      <c r="A33" s="12" t="s">
        <v>429</v>
      </c>
      <c r="B33" s="29">
        <f>Gantt!D17-1</f>
        <v>334</v>
      </c>
      <c r="C33" s="29">
        <f>IF(LEFT(Gantt!B17,1)="1",Gantt!E17,0)</f>
        <v>0</v>
      </c>
      <c r="D33" s="29">
        <f>IF(LEFT(Gantt!B17,1)="2",Gantt!E17,0)</f>
        <v>0</v>
      </c>
      <c r="E33" s="29">
        <f>IF(LEFT(Gantt!B17,1)="3",Gantt!E17,0)</f>
        <v>31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7" width="8.71"/>
  </cols>
  <sheetData>
    <row r="1">
      <c r="A1" s="2" t="s">
        <v>430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>
      <c r="A38" s="74" t="s">
        <v>431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2026-10-29T08:14:08Z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